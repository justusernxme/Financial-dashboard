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Financial Ratios" sheetId="2" state="visible" r:id="rId2"/>
    <sheet xmlns:r="http://schemas.openxmlformats.org/officeDocument/2006/relationships" name="Income Statement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Cash Flows" sheetId="5" state="visible" r:id="rId5"/>
    <sheet xmlns:r="http://schemas.openxmlformats.org/officeDocument/2006/relationships" name="Sentiment Analysis" sheetId="6" state="visible" r:id="rId6"/>
    <sheet xmlns:r="http://schemas.openxmlformats.org/officeDocument/2006/relationships" name="Stock Pri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$#,##0;($#,##0);&quot;-&quot;"/>
    <numFmt numFmtId="165" formatCode="$#,##0.00;($#,##0.00);&quot;-&quot;"/>
    <numFmt numFmtId="166" formatCode="#,##0;(#,##0);&quot;-&quot;"/>
    <numFmt numFmtId="167" formatCode="+0.00%;-0.00%;0.00%"/>
    <numFmt numFmtId="168" formatCode="+$#,##0.00;-$#,##0.00;&quot;$0.00&quot;"/>
    <numFmt numFmtId="169" formatCode="$#,##0.00"/>
    <numFmt numFmtId="170" formatCode="0.00&quot;x&quot;"/>
    <numFmt numFmtId="171" formatCode="0.0&quot; d&quot;"/>
  </numFmts>
  <fonts count="12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595959"/>
      <sz val="9"/>
    </font>
    <font>
      <name val="Calibri"/>
      <b val="1"/>
      <color rgb="00FFFFFF"/>
      <sz val="11"/>
    </font>
    <font>
      <name val="Calibri"/>
      <b val="1"/>
      <color rgb="001F4E79"/>
      <sz val="10"/>
    </font>
    <font>
      <name val="Calibri"/>
      <b val="1"/>
      <sz val="10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006100"/>
      <sz val="10"/>
    </font>
    <font>
      <name val="Calibri"/>
      <b val="1"/>
      <color rgb="00276A3C"/>
      <sz val="10"/>
    </font>
    <font>
      <name val="Calibri"/>
      <b val="1"/>
      <color rgb="00C00000"/>
      <sz val="10"/>
    </font>
    <font>
      <name val="Calibri"/>
      <b val="1"/>
      <color rgb="001F4E79"/>
      <sz val="11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1F2"/>
        <bgColor rgb="00D9E1F2"/>
      </patternFill>
    </fill>
    <fill>
      <patternFill patternType="solid">
        <fgColor rgb="00F9FBFD"/>
        <bgColor rgb="00F9FBFD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5">
    <border>
      <left/>
      <right/>
      <top/>
      <bottom/>
      <diagonal/>
    </border>
    <border>
      <top style="thin">
        <color rgb="001F4E79"/>
      </top>
      <bottom style="medium">
        <color rgb="00000000"/>
      </bottom>
    </border>
    <border>
      <top style="thin">
        <color rgb="00D3D3D3"/>
      </top>
      <bottom style="thin">
        <color rgb="00D3D3D3"/>
      </bottom>
    </border>
    <border>
      <top style="thin">
        <color rgb="00D3D3D3"/>
      </top>
      <bottom style="double">
        <color rgb="00000000"/>
      </bottom>
    </border>
    <border>
      <bottom style="medium">
        <color rgb="00000000"/>
      </bottom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right" vertical="center"/>
    </xf>
    <xf numFmtId="0" fontId="4" fillId="3" borderId="0" pivotButton="0" quotePrefix="0" xfId="0"/>
    <xf numFmtId="0" fontId="5" fillId="0" borderId="2" applyAlignment="1" pivotButton="0" quotePrefix="0" xfId="0">
      <alignment horizontal="left" vertical="center"/>
    </xf>
    <xf numFmtId="164" fontId="5" fillId="0" borderId="2" applyAlignment="1" pivotButton="0" quotePrefix="0" xfId="0">
      <alignment horizontal="right" vertical="center"/>
    </xf>
    <xf numFmtId="0" fontId="6" fillId="4" borderId="0" applyAlignment="1" pivotButton="0" quotePrefix="0" xfId="0">
      <alignment horizontal="left" vertical="center"/>
    </xf>
    <xf numFmtId="164" fontId="6" fillId="4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164" fontId="6" fillId="0" borderId="0" applyAlignment="1" pivotButton="0" quotePrefix="0" xfId="0">
      <alignment horizontal="right" vertical="center"/>
    </xf>
    <xf numFmtId="0" fontId="5" fillId="4" borderId="2" applyAlignment="1" pivotButton="0" quotePrefix="0" xfId="0">
      <alignment horizontal="left" vertical="center"/>
    </xf>
    <xf numFmtId="164" fontId="5" fillId="4" borderId="2" applyAlignment="1" pivotButton="0" quotePrefix="0" xfId="0">
      <alignment horizontal="right" vertical="center"/>
    </xf>
    <xf numFmtId="0" fontId="5" fillId="4" borderId="3" applyAlignment="1" pivotButton="0" quotePrefix="0" xfId="0">
      <alignment horizontal="left" vertical="center"/>
    </xf>
    <xf numFmtId="164" fontId="5" fillId="4" borderId="3" applyAlignment="1" pivotButton="0" quotePrefix="0" xfId="0">
      <alignment horizontal="right" vertical="center"/>
    </xf>
    <xf numFmtId="165" fontId="6" fillId="4" borderId="0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0" fontId="5" fillId="0" borderId="3" applyAlignment="1" pivotButton="0" quotePrefix="0" xfId="0">
      <alignment horizontal="left" vertical="center"/>
    </xf>
    <xf numFmtId="164" fontId="5" fillId="0" borderId="3" applyAlignment="1" pivotButton="0" quotePrefix="0" xfId="0">
      <alignment horizontal="right" vertical="center"/>
    </xf>
    <xf numFmtId="0" fontId="3" fillId="2" borderId="4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/>
    </xf>
    <xf numFmtId="166" fontId="6" fillId="4" borderId="2" applyAlignment="1" pivotButton="0" quotePrefix="0" xfId="0">
      <alignment horizontal="right"/>
    </xf>
    <xf numFmtId="2" fontId="6" fillId="4" borderId="2" applyAlignment="1" pivotButton="0" quotePrefix="0" xfId="0">
      <alignment horizontal="right"/>
    </xf>
    <xf numFmtId="167" fontId="6" fillId="4" borderId="2" applyAlignment="1" pivotButton="0" quotePrefix="0" xfId="0">
      <alignment horizontal="right"/>
    </xf>
    <xf numFmtId="0" fontId="7" fillId="5" borderId="2" applyAlignment="1" pivotButton="0" quotePrefix="0" xfId="0">
      <alignment horizontal="center"/>
    </xf>
    <xf numFmtId="0" fontId="6" fillId="0" borderId="2" applyAlignment="1" pivotButton="0" quotePrefix="0" xfId="0">
      <alignment horizontal="center"/>
    </xf>
    <xf numFmtId="166" fontId="6" fillId="0" borderId="2" applyAlignment="1" pivotButton="0" quotePrefix="0" xfId="0">
      <alignment horizontal="right"/>
    </xf>
    <xf numFmtId="2" fontId="6" fillId="0" borderId="2" applyAlignment="1" pivotButton="0" quotePrefix="0" xfId="0">
      <alignment horizontal="right"/>
    </xf>
    <xf numFmtId="167" fontId="6" fillId="0" borderId="2" applyAlignment="1" pivotButton="0" quotePrefix="0" xfId="0">
      <alignment horizontal="right"/>
    </xf>
    <xf numFmtId="0" fontId="8" fillId="6" borderId="2" applyAlignment="1" pivotButton="0" quotePrefix="0" xfId="0">
      <alignment horizontal="center"/>
    </xf>
    <xf numFmtId="165" fontId="6" fillId="4" borderId="2" applyAlignment="1" pivotButton="0" quotePrefix="0" xfId="0">
      <alignment horizontal="right"/>
    </xf>
    <xf numFmtId="168" fontId="6" fillId="4" borderId="2" applyAlignment="1" pivotButton="0" quotePrefix="0" xfId="0">
      <alignment horizontal="right"/>
    </xf>
    <xf numFmtId="165" fontId="6" fillId="0" borderId="2" applyAlignment="1" pivotButton="0" quotePrefix="0" xfId="0">
      <alignment horizontal="right"/>
    </xf>
    <xf numFmtId="168" fontId="6" fillId="0" borderId="2" applyAlignment="1" pivotButton="0" quotePrefix="0" xfId="0">
      <alignment horizontal="right"/>
    </xf>
    <xf numFmtId="167" fontId="8" fillId="6" borderId="2" applyAlignment="1" pivotButton="0" quotePrefix="0" xfId="0">
      <alignment horizontal="right"/>
    </xf>
    <xf numFmtId="167" fontId="7" fillId="5" borderId="2" applyAlignment="1" pivotButton="0" quotePrefix="0" xfId="0">
      <alignment horizontal="right"/>
    </xf>
    <xf numFmtId="0" fontId="3" fillId="2" borderId="0" applyAlignment="1" pivotButton="0" quotePrefix="0" xfId="0">
      <alignment horizontal="center" vertical="center"/>
    </xf>
    <xf numFmtId="169" fontId="6" fillId="4" borderId="2" applyAlignment="1" pivotButton="0" quotePrefix="0" xfId="0">
      <alignment horizontal="right"/>
    </xf>
    <xf numFmtId="10" fontId="6" fillId="4" borderId="2" applyAlignment="1" pivotButton="0" quotePrefix="0" xfId="0">
      <alignment horizontal="right"/>
    </xf>
    <xf numFmtId="170" fontId="6" fillId="4" borderId="2" applyAlignment="1" pivotButton="0" quotePrefix="0" xfId="0">
      <alignment horizontal="right"/>
    </xf>
    <xf numFmtId="169" fontId="6" fillId="0" borderId="2" applyAlignment="1" pivotButton="0" quotePrefix="0" xfId="0">
      <alignment horizontal="right"/>
    </xf>
    <xf numFmtId="10" fontId="6" fillId="0" borderId="2" applyAlignment="1" pivotButton="0" quotePrefix="0" xfId="0">
      <alignment horizontal="right"/>
    </xf>
    <xf numFmtId="170" fontId="6" fillId="0" borderId="2" applyAlignment="1" pivotButton="0" quotePrefix="0" xfId="0">
      <alignment horizontal="right"/>
    </xf>
    <xf numFmtId="167" fontId="9" fillId="7" borderId="2" applyAlignment="1" pivotButton="0" quotePrefix="0" xfId="0">
      <alignment horizontal="right"/>
    </xf>
    <xf numFmtId="0" fontId="9" fillId="7" borderId="2" applyAlignment="1" pivotButton="0" quotePrefix="0" xfId="0">
      <alignment horizontal="center"/>
    </xf>
    <xf numFmtId="167" fontId="10" fillId="8" borderId="2" applyAlignment="1" pivotButton="0" quotePrefix="0" xfId="0">
      <alignment horizontal="right"/>
    </xf>
    <xf numFmtId="0" fontId="11" fillId="0" borderId="0" pivotButton="0" quotePrefix="0" xfId="0"/>
    <xf numFmtId="0" fontId="5" fillId="0" borderId="2" pivotButton="0" quotePrefix="0" xfId="0"/>
    <xf numFmtId="0" fontId="4" fillId="0" borderId="2" applyAlignment="1" pivotButton="0" quotePrefix="0" xfId="0">
      <alignment horizontal="right"/>
    </xf>
    <xf numFmtId="0" fontId="3" fillId="2" borderId="0" applyAlignment="1" pivotButton="0" quotePrefix="0" xfId="0">
      <alignment horizontal="left" vertical="center"/>
    </xf>
    <xf numFmtId="0" fontId="0" fillId="3" borderId="0" pivotButton="0" quotePrefix="0" xfId="0"/>
    <xf numFmtId="0" fontId="5" fillId="0" borderId="0" pivotButton="0" quotePrefix="0" xfId="0"/>
    <xf numFmtId="171" fontId="6" fillId="0" borderId="2" applyAlignment="1" pivotButton="0" quotePrefix="0" xfId="0">
      <alignment horizontal="right"/>
    </xf>
    <xf numFmtId="169" fontId="6" fillId="4" borderId="2" applyAlignment="1" pivotButton="0" quotePrefix="0" xfId="0">
      <alignment horizontal="right"/>
    </xf>
    <xf numFmtId="170" fontId="6" fillId="4" borderId="2" applyAlignment="1" pivotButton="0" quotePrefix="0" xfId="0">
      <alignment horizontal="right"/>
    </xf>
    <xf numFmtId="169" fontId="6" fillId="0" borderId="2" applyAlignment="1" pivotButton="0" quotePrefix="0" xfId="0">
      <alignment horizontal="right"/>
    </xf>
    <xf numFmtId="170" fontId="6" fillId="0" borderId="2" applyAlignment="1" pivotButton="0" quotePrefix="0" xfId="0">
      <alignment horizontal="right"/>
    </xf>
    <xf numFmtId="171" fontId="6" fillId="0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MSFT Stock Price vs. MD&amp;A Sentiment (P/N Ratio)</a:t>
            </a:r>
          </a:p>
        </rich>
      </tx>
    </title>
    <plotArea>
      <lineChart>
        <grouping val="standard"/>
        <ser>
          <idx val="0"/>
          <order val="0"/>
          <tx>
            <strRef>
              <f>'Executive Summary'!B3</f>
            </strRef>
          </tx>
          <spPr>
            <a:ln xmlns:a="http://schemas.openxmlformats.org/drawingml/2006/main" w="26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'Executive Summary'!$A$4:$A$13</f>
            </numRef>
          </cat>
          <val>
            <numRef>
              <f>'Executive Summary'!$B$4:$B$13</f>
            </numRef>
          </val>
        </ser>
        <axId val="10"/>
        <axId val="100"/>
      </lineChart>
      <lineChart>
        <grouping val="standard"/>
        <ser>
          <idx val="1"/>
          <order val="1"/>
          <tx>
            <strRef>
              <f>'Executive Summary'!D3</f>
            </strRef>
          </tx>
          <spPr>
            <a:ln xmlns:a="http://schemas.openxmlformats.org/drawingml/2006/main" w="26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'Executive Summary'!$D$4:$D$13</f>
            </numRef>
          </val>
        </ser>
        <axId val="10"/>
        <axId val="2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Fiscal 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Closing Stock Price ($)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MD&amp;A Sentiment (P/N Ratio)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12</col>
      <colOff>0</colOff>
      <row>2</row>
      <rowOff>0</rowOff>
    </from>
    <ext cx="684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showGridLines="1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0" customWidth="1" min="4" max="4"/>
    <col width="14" customWidth="1" min="5" max="5"/>
    <col width="16" customWidth="1" min="6" max="6"/>
    <col width="16" customWidth="1" min="7" max="7"/>
    <col width="18" customWidth="1" min="8" max="8"/>
    <col width="22" customWidth="1" min="9" max="9"/>
    <col width="15" customWidth="1" min="10" max="10"/>
    <col width="16" customWidth="1" min="11" max="11"/>
  </cols>
  <sheetData>
    <row r="1">
      <c r="A1" s="1" t="inlineStr">
        <is>
          <t>MSFT — 10-YEAR EXECUTIVE SUMMARY &amp; SENTIMENT DASHBOARD</t>
        </is>
      </c>
    </row>
    <row r="2">
      <c r="A2" s="2" t="inlineStr">
        <is>
          <t>Integrated Performance: Audited Financials, Stock Price Returns, and MD&amp;A Sentiment P/N Trend</t>
        </is>
      </c>
    </row>
    <row r="3" ht="26" customHeight="1">
      <c r="A3" s="37" t="inlineStr">
        <is>
          <t>Fiscal Year</t>
        </is>
      </c>
      <c r="B3" s="37" t="inlineStr">
        <is>
          <t>Stock Price ($)</t>
        </is>
      </c>
      <c r="C3" s="37" t="inlineStr">
        <is>
          <t>YoY Return</t>
        </is>
      </c>
      <c r="D3" s="37" t="inlineStr">
        <is>
          <t>MD&amp;A Sentiment P/N</t>
        </is>
      </c>
      <c r="E3" s="37" t="inlineStr">
        <is>
          <t>MD&amp;A Tone</t>
        </is>
      </c>
      <c r="F3" s="37" t="inlineStr">
        <is>
          <t>Revenue ($B)</t>
        </is>
      </c>
      <c r="G3" s="37" t="inlineStr">
        <is>
          <t>Net Income ($B)</t>
        </is>
      </c>
      <c r="H3" s="37" t="inlineStr">
        <is>
          <t>Operating Margin</t>
        </is>
      </c>
      <c r="I3" s="37" t="inlineStr">
        <is>
          <t>Return on Equity (ROE)</t>
        </is>
      </c>
      <c r="J3" s="37" t="inlineStr">
        <is>
          <t>Current Ratio</t>
        </is>
      </c>
      <c r="K3" s="37" t="inlineStr">
        <is>
          <t>Debt-to-Equity</t>
        </is>
      </c>
    </row>
    <row r="4" ht="20" customHeight="1">
      <c r="A4" s="21" t="n">
        <v>2016</v>
      </c>
      <c r="B4" s="54" t="n">
        <v>51.16999816894531</v>
      </c>
      <c r="C4" s="24" t="n"/>
      <c r="D4" s="23" t="n">
        <v>0.5226</v>
      </c>
      <c r="E4" s="21" t="inlineStr">
        <is>
          <t>Cautious / Negative</t>
        </is>
      </c>
      <c r="F4" s="54" t="n">
        <v>85.31999999999999</v>
      </c>
      <c r="G4" s="54" t="n">
        <v>16.798</v>
      </c>
      <c r="H4" s="39" t="n">
        <v>0.236544772620722</v>
      </c>
      <c r="I4" s="39" t="n">
        <v>0.2333152770254316</v>
      </c>
      <c r="J4" s="55" t="n">
        <v>2.338697523318318</v>
      </c>
      <c r="K4" s="55" t="n">
        <v>0.9088712029667902</v>
      </c>
    </row>
    <row r="5" ht="20" customHeight="1">
      <c r="A5" s="26" t="n">
        <v>2017</v>
      </c>
      <c r="B5" s="56" t="n">
        <v>68.93000030517578</v>
      </c>
      <c r="C5" s="44" t="n">
        <v>0.3471</v>
      </c>
      <c r="D5" s="28" t="n">
        <v>0.526</v>
      </c>
      <c r="E5" s="26" t="inlineStr">
        <is>
          <t>Cautious / Negative</t>
        </is>
      </c>
      <c r="F5" s="56" t="n">
        <v>89.95</v>
      </c>
      <c r="G5" s="56" t="n">
        <v>21.204</v>
      </c>
      <c r="H5" s="42" t="n">
        <v>0.2482045580878266</v>
      </c>
      <c r="I5" s="42" t="n">
        <v>0.2467044410057127</v>
      </c>
      <c r="J5" s="57" t="n">
        <v>2.359981693093572</v>
      </c>
      <c r="K5" s="57" t="n">
        <v>1.033729304587604</v>
      </c>
    </row>
    <row r="6" ht="20" customHeight="1">
      <c r="A6" s="21" t="n">
        <v>2018</v>
      </c>
      <c r="B6" s="54" t="n">
        <v>98.61000061035156</v>
      </c>
      <c r="C6" s="44" t="n">
        <v>0.4305999999999999</v>
      </c>
      <c r="D6" s="23" t="n">
        <v>0.7429</v>
      </c>
      <c r="E6" s="21" t="inlineStr">
        <is>
          <t>Cautious / Negative</t>
        </is>
      </c>
      <c r="F6" s="54" t="n">
        <v>110.36</v>
      </c>
      <c r="G6" s="54" t="n">
        <v>16.571</v>
      </c>
      <c r="H6" s="39" t="n">
        <v>0.3176694454512505</v>
      </c>
      <c r="I6" s="39" t="n">
        <v>0.2003312459198723</v>
      </c>
      <c r="J6" s="55" t="n">
        <v>2.242124319467202</v>
      </c>
      <c r="K6" s="55" t="n">
        <v>0.9698735462656254</v>
      </c>
    </row>
    <row r="7" ht="20" customHeight="1">
      <c r="A7" s="26" t="n">
        <v>2019</v>
      </c>
      <c r="B7" s="56" t="n">
        <v>133.9600067138672</v>
      </c>
      <c r="C7" s="44" t="n">
        <v>0.3585</v>
      </c>
      <c r="D7" s="28" t="n">
        <v>1.0692</v>
      </c>
      <c r="E7" s="45" t="inlineStr">
        <is>
          <t>Positive</t>
        </is>
      </c>
      <c r="F7" s="56" t="n">
        <v>125.843</v>
      </c>
      <c r="G7" s="56" t="n">
        <v>39.24</v>
      </c>
      <c r="H7" s="42" t="n">
        <v>0.3413698020549415</v>
      </c>
      <c r="I7" s="42" t="n">
        <v>0.3834652594547054</v>
      </c>
      <c r="J7" s="57" t="n">
        <v>2.817668207498716</v>
      </c>
      <c r="K7" s="57" t="n">
        <v>0.7579106811296785</v>
      </c>
    </row>
    <row r="8" ht="20" customHeight="1">
      <c r="A8" s="21" t="n">
        <v>2020</v>
      </c>
      <c r="B8" s="54" t="n">
        <v>203.5099945068359</v>
      </c>
      <c r="C8" s="44" t="n">
        <v>0.5192</v>
      </c>
      <c r="D8" s="23" t="n">
        <v>1.25</v>
      </c>
      <c r="E8" s="45" t="inlineStr">
        <is>
          <t>Positive</t>
        </is>
      </c>
      <c r="F8" s="54" t="n">
        <v>143.015</v>
      </c>
      <c r="G8" s="54" t="n">
        <v>44.281</v>
      </c>
      <c r="H8" s="39" t="n">
        <v>0.3703038142852149</v>
      </c>
      <c r="I8" s="39" t="n">
        <v>0.374298417635921</v>
      </c>
      <c r="J8" s="55" t="n">
        <v>2.517854671280277</v>
      </c>
      <c r="K8" s="55" t="n">
        <v>0.6229628753043008</v>
      </c>
    </row>
    <row r="9" ht="20" customHeight="1">
      <c r="A9" s="26" t="n">
        <v>2021</v>
      </c>
      <c r="B9" s="56" t="n">
        <v>270.8999938964844</v>
      </c>
      <c r="C9" s="44" t="n">
        <v>0.3311</v>
      </c>
      <c r="D9" s="28" t="n">
        <v>1.2661</v>
      </c>
      <c r="E9" s="45" t="inlineStr">
        <is>
          <t>Positive</t>
        </is>
      </c>
      <c r="F9" s="56" t="n">
        <v>168.088</v>
      </c>
      <c r="G9" s="56" t="n">
        <v>61.271</v>
      </c>
      <c r="H9" s="42" t="n">
        <v>0.415948788729713</v>
      </c>
      <c r="I9" s="42" t="n">
        <v>0.4315223821731414</v>
      </c>
      <c r="J9" s="57" t="n">
        <v>2.418087909494907</v>
      </c>
      <c r="K9" s="57" t="n">
        <v>0.3953643969912951</v>
      </c>
    </row>
    <row r="10" ht="20" customHeight="1">
      <c r="A10" s="21" t="n">
        <v>2022</v>
      </c>
      <c r="B10" s="54" t="n">
        <v>256.8299865722656</v>
      </c>
      <c r="C10" s="46" t="n">
        <v>-0.0519</v>
      </c>
      <c r="D10" s="23" t="n">
        <v>1.5481</v>
      </c>
      <c r="E10" s="45" t="inlineStr">
        <is>
          <t>Positive</t>
        </is>
      </c>
      <c r="F10" s="54" t="n">
        <v>198.27</v>
      </c>
      <c r="G10" s="54" t="n">
        <v>72.738</v>
      </c>
      <c r="H10" s="39" t="n">
        <v>0.4205527815604983</v>
      </c>
      <c r="I10" s="39" t="n">
        <v>0.4367546925099975</v>
      </c>
      <c r="J10" s="55" t="n">
        <v>1.811899202793378</v>
      </c>
      <c r="K10" s="55" t="n">
        <v>0.3866712300800999</v>
      </c>
    </row>
    <row r="11" ht="20" customHeight="1">
      <c r="A11" s="26" t="n">
        <v>2023</v>
      </c>
      <c r="B11" s="56" t="n">
        <v>340.5400085449219</v>
      </c>
      <c r="C11" s="44" t="n">
        <v>0.3259</v>
      </c>
      <c r="D11" s="28" t="n">
        <v>0.9308</v>
      </c>
      <c r="E11" s="26" t="inlineStr">
        <is>
          <t>Cautious / Negative</t>
        </is>
      </c>
      <c r="F11" s="56" t="n">
        <v>211.915</v>
      </c>
      <c r="G11" s="56" t="n">
        <v>72.361</v>
      </c>
      <c r="H11" s="42" t="n">
        <v>0.417728806361041</v>
      </c>
      <c r="I11" s="42" t="n">
        <v>0.3508871464385641</v>
      </c>
      <c r="J11" s="57" t="n">
        <v>1.76916725076573</v>
      </c>
      <c r="K11" s="57" t="n">
        <v>0.3068425927272904</v>
      </c>
    </row>
    <row r="12" ht="20" customHeight="1">
      <c r="A12" s="21" t="n">
        <v>2024</v>
      </c>
      <c r="B12" s="54" t="n">
        <v>446.9500122070312</v>
      </c>
      <c r="C12" s="44" t="n">
        <v>0.3125</v>
      </c>
      <c r="D12" s="23" t="n">
        <v>1.0635</v>
      </c>
      <c r="E12" s="45" t="inlineStr">
        <is>
          <t>Positive</t>
        </is>
      </c>
      <c r="F12" s="54" t="n">
        <v>245.122</v>
      </c>
      <c r="G12" s="54" t="n">
        <v>88.136</v>
      </c>
      <c r="H12" s="39" t="n">
        <v>0.4464429957327372</v>
      </c>
      <c r="I12" s="39" t="n">
        <v>0.3282813797829982</v>
      </c>
      <c r="J12" s="55" t="n">
        <v>1.274954903181521</v>
      </c>
      <c r="K12" s="55" t="n">
        <v>0.2648346040815414</v>
      </c>
    </row>
    <row r="13" ht="20" customHeight="1">
      <c r="A13" s="26" t="n">
        <v>2025</v>
      </c>
      <c r="B13" s="56" t="n">
        <v>497.4100036621094</v>
      </c>
      <c r="C13" s="44" t="n">
        <v>0.1129</v>
      </c>
      <c r="D13" s="28" t="n">
        <v>1.1466</v>
      </c>
      <c r="E13" s="45" t="inlineStr">
        <is>
          <t>Positive</t>
        </is>
      </c>
      <c r="F13" s="56" t="n">
        <v>281.724</v>
      </c>
      <c r="G13" s="56" t="n">
        <v>101.832</v>
      </c>
      <c r="H13" s="42" t="n">
        <v>0.4562195624085985</v>
      </c>
      <c r="I13" s="42" t="n">
        <v>0.2964722734140952</v>
      </c>
      <c r="J13" s="57" t="n">
        <v>1.353446444504242</v>
      </c>
      <c r="K13" s="57" t="n">
        <v>0.2042948768338093</v>
      </c>
    </row>
    <row r="16">
      <c r="A16" s="47" t="inlineStr">
        <is>
          <t>10-YEAR EXECUTIVE HIGHLIGHTS &amp; PERFORMANCE CORRELATION</t>
        </is>
      </c>
    </row>
    <row r="17" ht="20" customHeight="1">
      <c r="A17" s="48" t="inlineStr">
        <is>
          <t>Initial Stock Price</t>
        </is>
      </c>
      <c r="B17" s="49" t="inlineStr">
        <is>
          <t>$51.17</t>
        </is>
      </c>
    </row>
    <row r="18" ht="20" customHeight="1">
      <c r="A18" s="48" t="inlineStr">
        <is>
          <t>Ending Stock Price</t>
        </is>
      </c>
      <c r="B18" s="49" t="inlineStr">
        <is>
          <t>$497.41</t>
        </is>
      </c>
    </row>
    <row r="19" ht="20" customHeight="1">
      <c r="A19" s="48" t="inlineStr">
        <is>
          <t>10-Year Cumulative Stock Return</t>
        </is>
      </c>
      <c r="B19" s="49" t="inlineStr">
        <is>
          <t>+872.07%</t>
        </is>
      </c>
    </row>
    <row r="20" ht="20" customHeight="1">
      <c r="A20" s="48" t="inlineStr">
        <is>
          <t>Compound Annual Growth Rate (CAGR)</t>
        </is>
      </c>
      <c r="B20" s="49" t="inlineStr">
        <is>
          <t>+28.75%</t>
        </is>
      </c>
    </row>
    <row r="21" ht="20" customHeight="1">
      <c r="A21" s="48" t="inlineStr">
        <is>
          <t>10-Year Average MD&amp;A Sentiment P/N</t>
        </is>
      </c>
      <c r="B21" s="49" t="inlineStr">
        <is>
          <t>1.01x</t>
        </is>
      </c>
    </row>
    <row r="22" ht="20" customHeight="1">
      <c r="A22" s="48" t="inlineStr">
        <is>
          <t>Correlation: Price Returns vs. MD&amp;A Sentiment (r)</t>
        </is>
      </c>
      <c r="B22" s="49" t="inlineStr">
        <is>
          <t>-0.51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showGridLines="1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5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MSFT — 10-YEAR HISTORICAL FINANCIAL RATIOS</t>
        </is>
      </c>
    </row>
    <row r="2">
      <c r="A2" s="2" t="inlineStr">
        <is>
          <t>Audited 10-K Ratios: Liquidity, Solvency, Efficiency &amp; Profitability — Side-by-Side 10-Year Analysis</t>
        </is>
      </c>
    </row>
    <row r="3" ht="24" customHeight="1">
      <c r="A3" s="50" t="inlineStr">
        <is>
          <t>Ratio Category / Metric</t>
        </is>
      </c>
      <c r="B3" s="50" t="inlineStr">
        <is>
          <t>Formula / Definition</t>
        </is>
      </c>
      <c r="C3" s="37" t="n">
        <v>2016</v>
      </c>
      <c r="D3" s="37" t="n">
        <v>2017</v>
      </c>
      <c r="E3" s="37" t="n">
        <v>2018</v>
      </c>
      <c r="F3" s="37" t="n">
        <v>2019</v>
      </c>
      <c r="G3" s="37" t="n">
        <v>2020</v>
      </c>
      <c r="H3" s="37" t="n">
        <v>2021</v>
      </c>
      <c r="I3" s="37" t="n">
        <v>2022</v>
      </c>
      <c r="J3" s="37" t="n">
        <v>2023</v>
      </c>
      <c r="K3" s="37" t="n">
        <v>2024</v>
      </c>
      <c r="L3" s="37" t="n">
        <v>2025</v>
      </c>
    </row>
    <row r="4" ht="20" customHeight="1">
      <c r="A4" s="5" t="inlineStr">
        <is>
          <t>LIQUIDITY RATIOS</t>
        </is>
      </c>
      <c r="B4" s="51" t="n"/>
      <c r="C4" s="51" t="n"/>
      <c r="D4" s="51" t="n"/>
      <c r="E4" s="51" t="n"/>
      <c r="F4" s="51" t="n"/>
      <c r="G4" s="51" t="n"/>
      <c r="H4" s="51" t="n"/>
      <c r="I4" s="51" t="n"/>
      <c r="J4" s="51" t="n"/>
      <c r="K4" s="51" t="n"/>
      <c r="L4" s="51" t="n"/>
    </row>
    <row r="5" ht="20" customHeight="1">
      <c r="A5" s="52" t="inlineStr">
        <is>
          <t xml:space="preserve">    Current Ratio</t>
        </is>
      </c>
      <c r="B5" s="2" t="inlineStr">
        <is>
          <t>Total Current Assets / Total Current Liabilities</t>
        </is>
      </c>
      <c r="C5" s="57" t="n">
        <v>2.338697523318318</v>
      </c>
      <c r="D5" s="57" t="n">
        <v>2.359981693093572</v>
      </c>
      <c r="E5" s="57" t="n">
        <v>2.242124319467202</v>
      </c>
      <c r="F5" s="57" t="n">
        <v>2.817668207498716</v>
      </c>
      <c r="G5" s="57" t="n">
        <v>2.517854671280277</v>
      </c>
      <c r="H5" s="57" t="n">
        <v>2.418087909494907</v>
      </c>
      <c r="I5" s="57" t="n">
        <v>1.811899202793378</v>
      </c>
      <c r="J5" s="57" t="n">
        <v>1.76916725076573</v>
      </c>
      <c r="K5" s="57" t="n">
        <v>1.274954903181521</v>
      </c>
      <c r="L5" s="57" t="n">
        <v>1.353446444504242</v>
      </c>
    </row>
    <row r="6" ht="20" customHeight="1">
      <c r="A6" s="52" t="inlineStr">
        <is>
          <t xml:space="preserve">    Quick Ratio (Acid-Test)</t>
        </is>
      </c>
      <c r="B6" s="2" t="inlineStr">
        <is>
          <t>(Cash + Mkt Securities + Accounts Rec) / Current Liab</t>
        </is>
      </c>
      <c r="C6" s="55" t="n">
        <v>2.202337692784299</v>
      </c>
      <c r="D6" s="55" t="n">
        <v>2.255484690111318</v>
      </c>
      <c r="E6" s="55" t="n">
        <v>2.117566996141445</v>
      </c>
      <c r="F6" s="55" t="n">
        <v>2.621709681561376</v>
      </c>
      <c r="G6" s="55" t="n">
        <v>2.332705882352941</v>
      </c>
      <c r="H6" s="55" t="n">
        <v>2.207267674318</v>
      </c>
      <c r="I6" s="55" t="n">
        <v>1.567173597526346</v>
      </c>
      <c r="J6" s="55" t="n">
        <v>1.535780468367435</v>
      </c>
      <c r="K6" s="55" t="n">
        <v>1.06485960123238</v>
      </c>
      <c r="L6" s="55" t="n">
        <v>1.164653231174496</v>
      </c>
    </row>
    <row r="7" ht="20" customHeight="1">
      <c r="A7" s="52" t="inlineStr">
        <is>
          <t xml:space="preserve">    Cash Ratio</t>
        </is>
      </c>
      <c r="B7" s="2" t="inlineStr">
        <is>
          <t>(Cash &amp; Cash Equiv + Mkt Securities) / Current Liab</t>
        </is>
      </c>
      <c r="C7" s="57" t="n">
        <v>1.896277441934457</v>
      </c>
      <c r="D7" s="57" t="n">
        <v>1.963282841704314</v>
      </c>
      <c r="E7" s="57" t="n">
        <v>1.767640995824304</v>
      </c>
      <c r="F7" s="57" t="n">
        <v>2.147839625064201</v>
      </c>
      <c r="G7" s="57" t="n">
        <v>1.889647058823529</v>
      </c>
      <c r="H7" s="57" t="n">
        <v>1.708558918763027</v>
      </c>
      <c r="I7" s="57" t="n">
        <v>1.101670137355125</v>
      </c>
      <c r="J7" s="57" t="n">
        <v>1.068296383066568</v>
      </c>
      <c r="K7" s="57" t="n">
        <v>0.6029723991507431</v>
      </c>
      <c r="L7" s="57" t="n">
        <v>0.6696384313614412</v>
      </c>
    </row>
    <row r="8" ht="20" customHeight="1">
      <c r="A8" s="52" t="inlineStr">
        <is>
          <t xml:space="preserve">    Operating Cash Flow Ratio</t>
        </is>
      </c>
      <c r="B8" s="2" t="inlineStr">
        <is>
          <t>Cash Flow from Operations / Current Liabilities</t>
        </is>
      </c>
      <c r="C8" s="55" t="n">
        <v>0.5580487968250247</v>
      </c>
      <c r="D8" s="55" t="n">
        <v>0.5832668969793604</v>
      </c>
      <c r="E8" s="55" t="n">
        <v>0.5798932290290184</v>
      </c>
      <c r="F8" s="55" t="n">
        <v>0.8375866718027735</v>
      </c>
      <c r="G8" s="55" t="n">
        <v>0.8397923875432526</v>
      </c>
      <c r="H8" s="55" t="n">
        <v>1.005990849861699</v>
      </c>
      <c r="I8" s="55" t="n">
        <v>0.9364022633095643</v>
      </c>
      <c r="J8" s="55" t="n">
        <v>0.84092982169776</v>
      </c>
      <c r="K8" s="55" t="n">
        <v>0.9462190508117427</v>
      </c>
      <c r="L8" s="55" t="n">
        <v>0.9641971986573949</v>
      </c>
    </row>
    <row r="9" ht="20" customHeight="1">
      <c r="A9" s="5" t="inlineStr">
        <is>
          <t>SOLVENCY RATIOS</t>
        </is>
      </c>
      <c r="B9" s="51" t="n"/>
      <c r="C9" s="51" t="n"/>
      <c r="D9" s="51" t="n"/>
      <c r="E9" s="51" t="n"/>
      <c r="F9" s="51" t="n"/>
      <c r="G9" s="51" t="n"/>
      <c r="H9" s="51" t="n"/>
      <c r="I9" s="51" t="n"/>
      <c r="J9" s="51" t="n"/>
      <c r="K9" s="51" t="n"/>
      <c r="L9" s="51" t="n"/>
    </row>
    <row r="10" ht="20" customHeight="1">
      <c r="A10" s="52" t="inlineStr">
        <is>
          <t xml:space="preserve">    Debt-to-Equity Ratio</t>
        </is>
      </c>
      <c r="B10" s="2" t="inlineStr">
        <is>
          <t>Total Debt (Short + Long-Term) / Stockholders' Equity</t>
        </is>
      </c>
      <c r="C10" s="55" t="n">
        <v>0.9088712029667902</v>
      </c>
      <c r="D10" s="55" t="n">
        <v>1.033729304587604</v>
      </c>
      <c r="E10" s="55" t="n">
        <v>0.9698735462656254</v>
      </c>
      <c r="F10" s="55" t="n">
        <v>0.7579106811296785</v>
      </c>
      <c r="G10" s="55" t="n">
        <v>0.6229628753043008</v>
      </c>
      <c r="H10" s="55" t="n">
        <v>0.3953643969912951</v>
      </c>
      <c r="I10" s="55" t="n">
        <v>0.3866712300800999</v>
      </c>
      <c r="J10" s="55" t="n">
        <v>0.3068425927272904</v>
      </c>
      <c r="K10" s="55" t="n">
        <v>0.2648346040815414</v>
      </c>
      <c r="L10" s="55" t="n">
        <v>0.2042948768338093</v>
      </c>
    </row>
    <row r="11" ht="20" customHeight="1">
      <c r="A11" s="52" t="inlineStr">
        <is>
          <t xml:space="preserve">    Debt-to-Assets Ratio</t>
        </is>
      </c>
      <c r="B11" s="2" t="inlineStr">
        <is>
          <t>Total Debt / Total Assets</t>
        </is>
      </c>
      <c r="C11" s="57" t="n">
        <v>0.3378318378473262</v>
      </c>
      <c r="D11" s="57" t="n">
        <v>0.3685323909310371</v>
      </c>
      <c r="E11" s="57" t="n">
        <v>0.3099347879836816</v>
      </c>
      <c r="F11" s="57" t="n">
        <v>0.2706521587403509</v>
      </c>
      <c r="G11" s="57" t="n">
        <v>0.2445944555625251</v>
      </c>
      <c r="H11" s="57" t="n">
        <v>0.1681861351373214</v>
      </c>
      <c r="I11" s="57" t="n">
        <v>0.1765075101414319</v>
      </c>
      <c r="J11" s="57" t="n">
        <v>0.1535963259995728</v>
      </c>
      <c r="K11" s="57" t="n">
        <v>0.1388268969058679</v>
      </c>
      <c r="L11" s="57" t="n">
        <v>0.1133613245816256</v>
      </c>
    </row>
    <row r="12" ht="20" customHeight="1">
      <c r="A12" s="52" t="inlineStr">
        <is>
          <t xml:space="preserve">    Financial Leverage (Equity Multiplier)</t>
        </is>
      </c>
      <c r="B12" s="2" t="inlineStr">
        <is>
          <t>Total Assets / Total Stockholders' Equity</t>
        </is>
      </c>
      <c r="C12" s="55" t="n">
        <v>2.690306540550301</v>
      </c>
      <c r="D12" s="55" t="n">
        <v>2.80498900510768</v>
      </c>
      <c r="E12" s="55" t="n">
        <v>3.129282622887401</v>
      </c>
      <c r="F12" s="55" t="n">
        <v>2.800312713769178</v>
      </c>
      <c r="G12" s="55" t="n">
        <v>2.54692149039762</v>
      </c>
      <c r="H12" s="55" t="n">
        <v>2.350754993379722</v>
      </c>
      <c r="I12" s="55" t="n">
        <v>2.190678627613455</v>
      </c>
      <c r="J12" s="55" t="n">
        <v>1.997720913768105</v>
      </c>
      <c r="K12" s="55" t="n">
        <v>1.907660618972947</v>
      </c>
      <c r="L12" s="55" t="n">
        <v>1.802156754852553</v>
      </c>
    </row>
    <row r="13" ht="20" customHeight="1">
      <c r="A13" s="52" t="inlineStr">
        <is>
          <t xml:space="preserve">    Interest Coverage Ratio</t>
        </is>
      </c>
      <c r="B13" s="2" t="inlineStr">
        <is>
          <t>Operating Income (EBIT) / Interest Expense</t>
        </is>
      </c>
      <c r="C13" s="57" t="n">
        <v>16.23652453740949</v>
      </c>
      <c r="D13" s="57" t="n">
        <v>14.24760689215061</v>
      </c>
      <c r="E13" s="57" t="n">
        <v>15.69292748433304</v>
      </c>
      <c r="F13" s="57" t="n">
        <v>15.49747474747475</v>
      </c>
      <c r="G13" s="57" t="n">
        <v>20.43959861057507</v>
      </c>
      <c r="H13" s="57" t="n">
        <v>29.80221653878943</v>
      </c>
      <c r="I13" s="57" t="n">
        <v>40.41832283082889</v>
      </c>
      <c r="J13" s="57" t="n">
        <v>44.98119918699187</v>
      </c>
      <c r="K13" s="57" t="n">
        <v>37.28551959114139</v>
      </c>
      <c r="L13" s="57" t="n">
        <v>45.90285714285714</v>
      </c>
    </row>
    <row r="14" ht="20" customHeight="1">
      <c r="A14" s="5" t="inlineStr">
        <is>
          <t>EFFICIENCY RATIOS</t>
        </is>
      </c>
      <c r="B14" s="51" t="n"/>
      <c r="C14" s="51" t="n"/>
      <c r="D14" s="51" t="n"/>
      <c r="E14" s="51" t="n"/>
      <c r="F14" s="51" t="n"/>
      <c r="G14" s="51" t="n"/>
      <c r="H14" s="51" t="n"/>
      <c r="I14" s="51" t="n"/>
      <c r="J14" s="51" t="n"/>
      <c r="K14" s="51" t="n"/>
      <c r="L14" s="51" t="n"/>
    </row>
    <row r="15" ht="20" customHeight="1">
      <c r="A15" s="52" t="inlineStr">
        <is>
          <t xml:space="preserve">    Asset Turnover Ratio</t>
        </is>
      </c>
      <c r="B15" s="2" t="inlineStr">
        <is>
          <t>Total Revenues / Total Assets</t>
        </is>
      </c>
      <c r="C15" s="57" t="n">
        <v>0.440488605738949</v>
      </c>
      <c r="D15" s="57" t="n">
        <v>0.3731033738997702</v>
      </c>
      <c r="E15" s="57" t="n">
        <v>0.4263505995796761</v>
      </c>
      <c r="F15" s="57" t="n">
        <v>0.439156744231494</v>
      </c>
      <c r="G15" s="57" t="n">
        <v>0.4746424790332912</v>
      </c>
      <c r="H15" s="57" t="n">
        <v>0.5035906992351227</v>
      </c>
      <c r="I15" s="57" t="n">
        <v>0.5434437013485364</v>
      </c>
      <c r="J15" s="57" t="n">
        <v>0.5143867603938094</v>
      </c>
      <c r="K15" s="57" t="n">
        <v>0.4786015389631816</v>
      </c>
      <c r="L15" s="57" t="n">
        <v>0.4551254194244616</v>
      </c>
    </row>
    <row r="16" ht="20" customHeight="1">
      <c r="A16" s="52" t="inlineStr">
        <is>
          <t xml:space="preserve">    Receivables Turnover Ratio</t>
        </is>
      </c>
      <c r="B16" s="2" t="inlineStr">
        <is>
          <t>Total Revenues / Accounts Receivable, Net</t>
        </is>
      </c>
      <c r="C16" s="55" t="n">
        <v>4.668162171034633</v>
      </c>
      <c r="D16" s="55" t="n">
        <v>4.544765561843169</v>
      </c>
      <c r="E16" s="55" t="n">
        <v>4.167516332464786</v>
      </c>
      <c r="F16" s="55" t="n">
        <v>4.262396694214876</v>
      </c>
      <c r="G16" s="55" t="n">
        <v>4.467682983974258</v>
      </c>
      <c r="H16" s="55" t="n">
        <v>4.418368688063507</v>
      </c>
      <c r="I16" s="55" t="n">
        <v>4.479564402069542</v>
      </c>
      <c r="J16" s="55" t="n">
        <v>4.352509858692081</v>
      </c>
      <c r="K16" s="55" t="n">
        <v>4.235881661712864</v>
      </c>
      <c r="L16" s="55" t="n">
        <v>4.030097990129462</v>
      </c>
    </row>
    <row r="17" ht="20" customHeight="1">
      <c r="A17" s="52" t="inlineStr">
        <is>
          <t xml:space="preserve">    Days Sales Outstanding (DSO)</t>
        </is>
      </c>
      <c r="B17" s="2" t="inlineStr">
        <is>
          <t>(Accounts Receivable * 365) / Total Revenues</t>
        </is>
      </c>
      <c r="C17" s="58" t="n">
        <v>78.18922878574779</v>
      </c>
      <c r="D17" s="58" t="n">
        <v>80.31217342968316</v>
      </c>
      <c r="E17" s="58" t="n">
        <v>87.58214026821311</v>
      </c>
      <c r="F17" s="58" t="n">
        <v>85.63257392147359</v>
      </c>
      <c r="G17" s="58" t="n">
        <v>81.69782889906654</v>
      </c>
      <c r="H17" s="58" t="n">
        <v>82.6096746942078</v>
      </c>
      <c r="I17" s="58" t="n">
        <v>81.48113683361073</v>
      </c>
      <c r="J17" s="58" t="n">
        <v>83.85966071302173</v>
      </c>
      <c r="K17" s="58" t="n">
        <v>86.16860175749218</v>
      </c>
      <c r="L17" s="58" t="n">
        <v>90.56851741420681</v>
      </c>
    </row>
    <row r="18" ht="20" customHeight="1">
      <c r="A18" s="52" t="inlineStr">
        <is>
          <t xml:space="preserve">    Inventory Turnover Ratio</t>
        </is>
      </c>
      <c r="B18" s="2" t="inlineStr">
        <is>
          <t>Cost of Goods Sold / Inventories</t>
        </is>
      </c>
      <c r="C18" s="55" t="n">
        <v>14.56241670368725</v>
      </c>
      <c r="D18" s="55" t="n">
        <v>15.70884915176524</v>
      </c>
      <c r="E18" s="55" t="n">
        <v>14.40758827948911</v>
      </c>
      <c r="F18" s="55" t="n">
        <v>20.79980610761028</v>
      </c>
      <c r="G18" s="55" t="n">
        <v>24.3155672823219</v>
      </c>
      <c r="H18" s="55" t="n">
        <v>19.81487101669196</v>
      </c>
      <c r="I18" s="55" t="n">
        <v>16.74238375200428</v>
      </c>
      <c r="J18" s="55" t="n">
        <v>26.3452</v>
      </c>
      <c r="K18" s="55" t="n">
        <v>24.43587207385427</v>
      </c>
      <c r="L18" s="55" t="n">
        <v>93.636460554371</v>
      </c>
    </row>
    <row r="19" ht="20" customHeight="1">
      <c r="A19" s="52" t="inlineStr">
        <is>
          <t xml:space="preserve">    Days Inventory Outstanding (DIO)</t>
        </is>
      </c>
      <c r="B19" s="2" t="inlineStr">
        <is>
          <t>(Inventories * 365) / Cost of Goods Sold</t>
        </is>
      </c>
      <c r="C19" s="58" t="n">
        <v>25.06452104942038</v>
      </c>
      <c r="D19" s="58" t="n">
        <v>23.23531128688596</v>
      </c>
      <c r="E19" s="58" t="n">
        <v>25.3338721873126</v>
      </c>
      <c r="F19" s="58" t="n">
        <v>17.54824050337917</v>
      </c>
      <c r="G19" s="58" t="n">
        <v>15.01095967706932</v>
      </c>
      <c r="H19" s="58" t="n">
        <v>18.42050850053607</v>
      </c>
      <c r="I19" s="58" t="n">
        <v>21.80095770151636</v>
      </c>
      <c r="J19" s="58" t="n">
        <v>13.85451619270304</v>
      </c>
      <c r="K19" s="58" t="n">
        <v>14.93705642658607</v>
      </c>
      <c r="L19" s="58" t="n">
        <v>3.898054217759106</v>
      </c>
    </row>
    <row r="20" ht="20" customHeight="1">
      <c r="A20" s="5" t="inlineStr">
        <is>
          <t>PROFITABILITY RATIOS</t>
        </is>
      </c>
      <c r="B20" s="51" t="n"/>
      <c r="C20" s="51" t="n"/>
      <c r="D20" s="51" t="n"/>
      <c r="E20" s="51" t="n"/>
      <c r="F20" s="51" t="n"/>
      <c r="G20" s="51" t="n"/>
      <c r="H20" s="51" t="n"/>
      <c r="I20" s="51" t="n"/>
      <c r="J20" s="51" t="n"/>
      <c r="K20" s="51" t="n"/>
      <c r="L20" s="51" t="n"/>
    </row>
    <row r="21" ht="20" customHeight="1">
      <c r="A21" s="52" t="inlineStr">
        <is>
          <t xml:space="preserve">    Gross Profit Margin</t>
        </is>
      </c>
      <c r="B21" s="2" t="inlineStr">
        <is>
          <t>Gross Profit / Total Revenues</t>
        </is>
      </c>
      <c r="C21" s="42" t="n">
        <v>0.6157993436474449</v>
      </c>
      <c r="D21" s="42" t="n">
        <v>0.6191106170094497</v>
      </c>
      <c r="E21" s="42" t="n">
        <v>0.652473722363175</v>
      </c>
      <c r="F21" s="42" t="n">
        <v>0.6590195720063889</v>
      </c>
      <c r="G21" s="42" t="n">
        <v>0.6778100199279796</v>
      </c>
      <c r="H21" s="42" t="n">
        <v>0.689258007710247</v>
      </c>
      <c r="I21" s="42" t="n">
        <v>0.684016744842891</v>
      </c>
      <c r="J21" s="42" t="n">
        <v>0.6892008588349102</v>
      </c>
      <c r="K21" s="42" t="n">
        <v>0.6976444382797138</v>
      </c>
      <c r="L21" s="42" t="n">
        <v>0.6882374238616519</v>
      </c>
    </row>
    <row r="22" ht="20" customHeight="1">
      <c r="A22" s="52" t="inlineStr">
        <is>
          <t xml:space="preserve">    Operating Profit Margin</t>
        </is>
      </c>
      <c r="B22" s="2" t="inlineStr">
        <is>
          <t>Operating Income (EBIT) / Total Revenues</t>
        </is>
      </c>
      <c r="C22" s="39" t="n">
        <v>0.236544772620722</v>
      </c>
      <c r="D22" s="39" t="n">
        <v>0.2482045580878266</v>
      </c>
      <c r="E22" s="39" t="n">
        <v>0.3176694454512505</v>
      </c>
      <c r="F22" s="39" t="n">
        <v>0.3413698020549415</v>
      </c>
      <c r="G22" s="39" t="n">
        <v>0.3703038142852149</v>
      </c>
      <c r="H22" s="39" t="n">
        <v>0.415948788729713</v>
      </c>
      <c r="I22" s="39" t="n">
        <v>0.4205527815604983</v>
      </c>
      <c r="J22" s="39" t="n">
        <v>0.417728806361041</v>
      </c>
      <c r="K22" s="39" t="n">
        <v>0.4464429957327372</v>
      </c>
      <c r="L22" s="39" t="n">
        <v>0.4562195624085985</v>
      </c>
    </row>
    <row r="23" ht="20" customHeight="1">
      <c r="A23" s="52" t="inlineStr">
        <is>
          <t xml:space="preserve">    Net Profit Margin</t>
        </is>
      </c>
      <c r="B23" s="2" t="inlineStr">
        <is>
          <t>Net Income / Total Revenues</t>
        </is>
      </c>
      <c r="C23" s="42" t="n">
        <v>0.196882325363338</v>
      </c>
      <c r="D23" s="42" t="n">
        <v>0.2357309616453585</v>
      </c>
      <c r="E23" s="42" t="n">
        <v>0.1501540413193186</v>
      </c>
      <c r="F23" s="42" t="n">
        <v>0.3118171054409065</v>
      </c>
      <c r="G23" s="42" t="n">
        <v>0.3096248645247002</v>
      </c>
      <c r="H23" s="42" t="n">
        <v>0.3645173956498977</v>
      </c>
      <c r="I23" s="42" t="n">
        <v>0.3668633681343622</v>
      </c>
      <c r="J23" s="42" t="n">
        <v>0.3414623787839464</v>
      </c>
      <c r="K23" s="42" t="n">
        <v>0.3595597294408499</v>
      </c>
      <c r="L23" s="42" t="n">
        <v>0.3614601524896707</v>
      </c>
    </row>
    <row r="24" ht="20" customHeight="1">
      <c r="A24" s="52" t="inlineStr">
        <is>
          <t xml:space="preserve">    Return on Assets (ROA)</t>
        </is>
      </c>
      <c r="B24" s="2" t="inlineStr">
        <is>
          <t>Net Income / Total Assets</t>
        </is>
      </c>
      <c r="C24" s="39" t="n">
        <v>0.0867244209939389</v>
      </c>
      <c r="D24" s="39" t="n">
        <v>0.0879520171225206</v>
      </c>
      <c r="E24" s="39" t="n">
        <v>0.06401826554580294</v>
      </c>
      <c r="F24" s="39" t="n">
        <v>0.136936584821117</v>
      </c>
      <c r="G24" s="39" t="n">
        <v>0.1469611132683507</v>
      </c>
      <c r="H24" s="39" t="n">
        <v>0.1835675701586978</v>
      </c>
      <c r="I24" s="39" t="n">
        <v>0.1993695866681285</v>
      </c>
      <c r="J24" s="39" t="n">
        <v>0.175643726819038</v>
      </c>
      <c r="K24" s="39" t="n">
        <v>0.172085839859576</v>
      </c>
      <c r="L24" s="39" t="n">
        <v>0.1645097035070912</v>
      </c>
    </row>
    <row r="25" ht="20" customHeight="1">
      <c r="A25" s="52" t="inlineStr">
        <is>
          <t xml:space="preserve">    Return on Equity (ROE)</t>
        </is>
      </c>
      <c r="B25" s="2" t="inlineStr">
        <is>
          <t>Net Income / Total Stockholders' Equity</t>
        </is>
      </c>
      <c r="C25" s="42" t="n">
        <v>0.2333152770254316</v>
      </c>
      <c r="D25" s="42" t="n">
        <v>0.2467044410057127</v>
      </c>
      <c r="E25" s="42" t="n">
        <v>0.2003312459198723</v>
      </c>
      <c r="F25" s="42" t="n">
        <v>0.3834652594547054</v>
      </c>
      <c r="G25" s="42" t="n">
        <v>0.374298417635921</v>
      </c>
      <c r="H25" s="42" t="n">
        <v>0.4315223821731414</v>
      </c>
      <c r="I25" s="42" t="n">
        <v>0.4367546925099975</v>
      </c>
      <c r="J25" s="42" t="n">
        <v>0.3508871464385641</v>
      </c>
      <c r="K25" s="42" t="n">
        <v>0.3282813797829982</v>
      </c>
      <c r="L25" s="42" t="n">
        <v>0.2964722734140952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3"/>
  <sheetViews>
    <sheetView showGridLines="1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MSFT — CONSOLIDATED STATEMENTS OF OPERATIONS</t>
        </is>
      </c>
    </row>
    <row r="2">
      <c r="A2" s="2" t="inlineStr">
        <is>
          <t>Values reported in USD (Audited 10-K SEC Filings)</t>
        </is>
      </c>
    </row>
    <row r="3" ht="24" customHeight="1">
      <c r="A3" s="3" t="inlineStr">
        <is>
          <t>Line Item / Financial Concept</t>
        </is>
      </c>
      <c r="B3" s="4" t="n">
        <v>2016</v>
      </c>
      <c r="C3" s="4" t="n">
        <v>2017</v>
      </c>
      <c r="D3" s="4" t="n">
        <v>2018</v>
      </c>
      <c r="E3" s="4" t="n">
        <v>2019</v>
      </c>
      <c r="F3" s="4" t="n">
        <v>2020</v>
      </c>
      <c r="G3" s="4" t="n">
        <v>2021</v>
      </c>
      <c r="H3" s="4" t="n">
        <v>2022</v>
      </c>
      <c r="I3" s="4" t="n">
        <v>2023</v>
      </c>
      <c r="J3" s="4" t="n">
        <v>2024</v>
      </c>
      <c r="K3" s="4" t="n">
        <v>2025</v>
      </c>
    </row>
    <row r="4" ht="20" customHeight="1">
      <c r="A4" s="5" t="inlineStr">
        <is>
          <t>REVENUES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</row>
    <row r="5" ht="20" customHeight="1">
      <c r="A5" s="6" t="inlineStr">
        <is>
          <t xml:space="preserve">    Total Net Sales / Revenue</t>
        </is>
      </c>
      <c r="B5" s="7" t="n">
        <v>85320000000</v>
      </c>
      <c r="C5" s="7" t="n">
        <v>89950000000</v>
      </c>
      <c r="D5" s="7" t="n">
        <v>110360000000</v>
      </c>
      <c r="E5" s="7" t="n">
        <v>125843000000</v>
      </c>
      <c r="F5" s="7" t="n">
        <v>143015000000</v>
      </c>
      <c r="G5" s="7" t="n">
        <v>168088000000</v>
      </c>
      <c r="H5" s="7" t="n">
        <v>198270000000</v>
      </c>
      <c r="I5" s="7" t="n">
        <v>211915000000</v>
      </c>
      <c r="J5" s="7" t="n">
        <v>245122000000</v>
      </c>
      <c r="K5" s="7" t="n">
        <v>281724000000</v>
      </c>
    </row>
    <row r="6" ht="20" customHeight="1">
      <c r="A6" s="8" t="inlineStr">
        <is>
          <t xml:space="preserve">    Cost of Goods and Services Sold</t>
        </is>
      </c>
      <c r="B6" s="9" t="n">
        <v>32780000000</v>
      </c>
      <c r="C6" s="9" t="n">
        <v>34261000000</v>
      </c>
      <c r="D6" s="9" t="n">
        <v>38353000000</v>
      </c>
      <c r="E6" s="9" t="n">
        <v>42910000000</v>
      </c>
      <c r="F6" s="9" t="n">
        <v>46078000000</v>
      </c>
      <c r="G6" s="9" t="n">
        <v>52232000000</v>
      </c>
      <c r="H6" s="9" t="n">
        <v>62650000000</v>
      </c>
      <c r="I6" s="9" t="n">
        <v>65863000000</v>
      </c>
      <c r="J6" s="9" t="n">
        <v>74114000000</v>
      </c>
      <c r="K6" s="9" t="n">
        <v>87831000000</v>
      </c>
    </row>
    <row r="7" ht="20" customHeight="1">
      <c r="A7" s="6" t="inlineStr">
        <is>
          <t xml:space="preserve">    Gross Profit</t>
        </is>
      </c>
      <c r="B7" s="7" t="n">
        <v>52540000000</v>
      </c>
      <c r="C7" s="7" t="n">
        <v>55689000000</v>
      </c>
      <c r="D7" s="7" t="n">
        <v>72007000000</v>
      </c>
      <c r="E7" s="7" t="n">
        <v>82933000000</v>
      </c>
      <c r="F7" s="7" t="n">
        <v>96937000000</v>
      </c>
      <c r="G7" s="7" t="n">
        <v>115856000000</v>
      </c>
      <c r="H7" s="7" t="n">
        <v>135620000000</v>
      </c>
      <c r="I7" s="7" t="n">
        <v>146052000000</v>
      </c>
      <c r="J7" s="7" t="n">
        <v>171008000000</v>
      </c>
      <c r="K7" s="7" t="n">
        <v>193893000000</v>
      </c>
    </row>
    <row r="8" ht="20" customHeight="1">
      <c r="A8" s="5" t="inlineStr">
        <is>
          <t>OPERATING EXPENSES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</row>
    <row r="9" ht="20" customHeight="1">
      <c r="A9" s="10" t="inlineStr">
        <is>
          <t xml:space="preserve">    Research and Development</t>
        </is>
      </c>
      <c r="B9" s="11" t="n">
        <v>11988000000</v>
      </c>
      <c r="C9" s="11" t="n">
        <v>13037000000</v>
      </c>
      <c r="D9" s="11" t="n">
        <v>14726000000</v>
      </c>
      <c r="E9" s="11" t="n">
        <v>16876000000</v>
      </c>
      <c r="F9" s="11" t="n">
        <v>19269000000</v>
      </c>
      <c r="G9" s="11" t="n">
        <v>20716000000</v>
      </c>
      <c r="H9" s="11" t="n">
        <v>24512000000</v>
      </c>
      <c r="I9" s="11" t="n">
        <v>27195000000</v>
      </c>
      <c r="J9" s="11" t="n">
        <v>29510000000</v>
      </c>
      <c r="K9" s="11" t="n">
        <v>32488000000</v>
      </c>
    </row>
    <row r="10" ht="20" customHeight="1">
      <c r="A10" s="8" t="inlineStr">
        <is>
          <t xml:space="preserve">    Selling, General and Administrative</t>
        </is>
      </c>
      <c r="B10" s="9" t="n">
        <v>19198000000</v>
      </c>
      <c r="C10" s="9" t="n">
        <v>20116000000</v>
      </c>
      <c r="D10" s="9" t="n">
        <v>22223000000</v>
      </c>
      <c r="E10" s="9" t="n">
        <v>23098000000</v>
      </c>
      <c r="F10" s="9" t="n">
        <v>24709000000</v>
      </c>
      <c r="G10" s="9" t="n">
        <v>25224000000</v>
      </c>
      <c r="H10" s="9" t="n">
        <v>27725000000</v>
      </c>
      <c r="I10" s="9" t="n">
        <v>29589000000</v>
      </c>
      <c r="J10" s="9" t="n">
        <v>32065000000</v>
      </c>
      <c r="K10" s="9" t="n">
        <v>32877000000</v>
      </c>
    </row>
    <row r="11" ht="20" customHeight="1">
      <c r="A11" s="6" t="inlineStr">
        <is>
          <t xml:space="preserve">    Total Operating Expenses</t>
        </is>
      </c>
      <c r="B11" s="7" t="n">
        <v>31186000000</v>
      </c>
      <c r="C11" s="7" t="n">
        <v>33153000000</v>
      </c>
      <c r="D11" s="7" t="n">
        <v>36949000000</v>
      </c>
      <c r="E11" s="7" t="n">
        <v>39974000000</v>
      </c>
      <c r="F11" s="7" t="n">
        <v>43978000000</v>
      </c>
      <c r="G11" s="7" t="n">
        <v>45940000000</v>
      </c>
      <c r="H11" s="7" t="n">
        <v>52237000000</v>
      </c>
      <c r="I11" s="7" t="n">
        <v>56784000000</v>
      </c>
      <c r="J11" s="7" t="n">
        <v>61575000000</v>
      </c>
      <c r="K11" s="7" t="n">
        <v>65365000000</v>
      </c>
    </row>
    <row r="12" ht="20" customHeight="1">
      <c r="A12" s="12" t="inlineStr">
        <is>
          <t xml:space="preserve">    Operating Income (EBIT)</t>
        </is>
      </c>
      <c r="B12" s="13" t="n">
        <v>20182000000</v>
      </c>
      <c r="C12" s="13" t="n">
        <v>22326000000</v>
      </c>
      <c r="D12" s="13" t="n">
        <v>35058000000</v>
      </c>
      <c r="E12" s="13" t="n">
        <v>42959000000</v>
      </c>
      <c r="F12" s="13" t="n">
        <v>52959000000</v>
      </c>
      <c r="G12" s="13" t="n">
        <v>69916000000</v>
      </c>
      <c r="H12" s="13" t="n">
        <v>83383000000</v>
      </c>
      <c r="I12" s="13" t="n">
        <v>88523000000</v>
      </c>
      <c r="J12" s="13" t="n">
        <v>109433000000</v>
      </c>
      <c r="K12" s="13" t="n">
        <v>128528000000</v>
      </c>
    </row>
    <row r="13" ht="20" customHeight="1">
      <c r="A13" s="5" t="inlineStr">
        <is>
          <t>OTHER INCOME / (EXPENSE)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</row>
    <row r="14" ht="20" customHeight="1">
      <c r="A14" s="8" t="inlineStr">
        <is>
          <t xml:space="preserve">    Total Non-Operating Income / (Expense)</t>
        </is>
      </c>
      <c r="B14" s="9" t="n">
        <v>-223000000</v>
      </c>
      <c r="C14" s="9" t="n">
        <v>575000000</v>
      </c>
      <c r="D14" s="9" t="n">
        <v>1416000000</v>
      </c>
      <c r="E14" s="9" t="n">
        <v>729000000</v>
      </c>
      <c r="F14" s="9" t="n">
        <v>77000000</v>
      </c>
      <c r="G14" s="9" t="n">
        <v>1186000000</v>
      </c>
      <c r="H14" s="9" t="n">
        <v>333000000</v>
      </c>
      <c r="I14" s="9" t="n">
        <v>788000000</v>
      </c>
      <c r="J14" s="9" t="n">
        <v>-1646000000</v>
      </c>
      <c r="K14" s="9" t="n">
        <v>-1228000000</v>
      </c>
    </row>
    <row r="15" ht="20" customHeight="1">
      <c r="A15" s="10" t="inlineStr">
        <is>
          <t xml:space="preserve">    Interest Expense</t>
        </is>
      </c>
      <c r="B15" s="11" t="n">
        <v>1243000000</v>
      </c>
      <c r="C15" s="11" t="n">
        <v>1567000000</v>
      </c>
      <c r="D15" s="11" t="n">
        <v>2234000000</v>
      </c>
      <c r="E15" s="11" t="n">
        <v>2772000000</v>
      </c>
      <c r="F15" s="11" t="n">
        <v>2591000000</v>
      </c>
      <c r="G15" s="11" t="n">
        <v>2346000000</v>
      </c>
      <c r="H15" s="11" t="n">
        <v>2063000000</v>
      </c>
      <c r="I15" s="11" t="n">
        <v>1968000000</v>
      </c>
      <c r="J15" s="11" t="n">
        <v>2935000000</v>
      </c>
      <c r="K15" s="11" t="n">
        <v>2800000000</v>
      </c>
    </row>
    <row r="16" ht="20" customHeight="1">
      <c r="A16" s="12" t="inlineStr">
        <is>
          <t xml:space="preserve">    Income Before Income Taxes</t>
        </is>
      </c>
      <c r="B16" s="13" t="n">
        <v>25639000000</v>
      </c>
      <c r="C16" s="13" t="n">
        <v>29901000000</v>
      </c>
      <c r="D16" s="13" t="n">
        <v>36474000000</v>
      </c>
      <c r="E16" s="13" t="n">
        <v>43688000000</v>
      </c>
      <c r="F16" s="13" t="n">
        <v>53036000000</v>
      </c>
      <c r="G16" s="13" t="n">
        <v>71102000000</v>
      </c>
      <c r="H16" s="13" t="n">
        <v>83716000000</v>
      </c>
      <c r="I16" s="13" t="n">
        <v>89311000000</v>
      </c>
      <c r="J16" s="13" t="n">
        <v>107787000000</v>
      </c>
      <c r="K16" s="13" t="n">
        <v>124500000000</v>
      </c>
    </row>
    <row r="17" ht="20" customHeight="1">
      <c r="A17" s="10" t="inlineStr">
        <is>
          <t xml:space="preserve">    Income Tax Expense / (Benefit)</t>
        </is>
      </c>
      <c r="B17" s="11" t="n">
        <v>5100000000</v>
      </c>
      <c r="C17" s="11" t="n">
        <v>4412000000</v>
      </c>
      <c r="D17" s="11" t="n">
        <v>19903000000</v>
      </c>
      <c r="E17" s="11" t="n">
        <v>4448000000</v>
      </c>
      <c r="F17" s="11" t="n">
        <v>8755000000</v>
      </c>
      <c r="G17" s="11" t="n">
        <v>9831000000</v>
      </c>
      <c r="H17" s="11" t="n">
        <v>10978000000</v>
      </c>
      <c r="I17" s="11" t="n">
        <v>16950000000</v>
      </c>
      <c r="J17" s="11" t="n">
        <v>19651000000</v>
      </c>
      <c r="K17" s="11" t="n">
        <v>22668000000</v>
      </c>
    </row>
    <row r="18" ht="20" customHeight="1">
      <c r="A18" s="14" t="inlineStr">
        <is>
          <t xml:space="preserve">    Net Income</t>
        </is>
      </c>
      <c r="B18" s="15" t="n">
        <v>16798000000</v>
      </c>
      <c r="C18" s="15" t="n">
        <v>21204000000</v>
      </c>
      <c r="D18" s="15" t="n">
        <v>16571000000</v>
      </c>
      <c r="E18" s="15" t="n">
        <v>39240000000</v>
      </c>
      <c r="F18" s="15" t="n">
        <v>44281000000</v>
      </c>
      <c r="G18" s="15" t="n">
        <v>61271000000</v>
      </c>
      <c r="H18" s="15" t="n">
        <v>72738000000</v>
      </c>
      <c r="I18" s="15" t="n">
        <v>72361000000</v>
      </c>
      <c r="J18" s="15" t="n">
        <v>88136000000</v>
      </c>
      <c r="K18" s="15" t="n">
        <v>101832000000</v>
      </c>
    </row>
    <row r="19" ht="20" customHeight="1">
      <c r="A19" s="5" t="inlineStr">
        <is>
          <t>PER SHARE DATA</t>
        </is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</row>
    <row r="20" ht="20" customHeight="1">
      <c r="A20" s="8" t="inlineStr">
        <is>
          <t xml:space="preserve">    Basic Earnings Per Share (USD)</t>
        </is>
      </c>
      <c r="B20" s="16" t="n">
        <v>2.12</v>
      </c>
      <c r="C20" s="16" t="n">
        <v>2.74</v>
      </c>
      <c r="D20" s="16" t="n">
        <v>2.15</v>
      </c>
      <c r="E20" s="16" t="n">
        <v>5.11</v>
      </c>
      <c r="F20" s="16" t="n">
        <v>5.82</v>
      </c>
      <c r="G20" s="16" t="n">
        <v>8.119999999999999</v>
      </c>
      <c r="H20" s="16" t="n">
        <v>9.699999999999999</v>
      </c>
      <c r="I20" s="16" t="n">
        <v>9.720000000000001</v>
      </c>
      <c r="J20" s="16" t="n">
        <v>11.86</v>
      </c>
      <c r="K20" s="16" t="n">
        <v>13.71</v>
      </c>
    </row>
    <row r="21" ht="20" customHeight="1">
      <c r="A21" s="10" t="inlineStr">
        <is>
          <t xml:space="preserve">    Diluted Earnings Per Share (USD)</t>
        </is>
      </c>
      <c r="B21" s="17" t="n">
        <v>2.1</v>
      </c>
      <c r="C21" s="17" t="n">
        <v>2.71</v>
      </c>
      <c r="D21" s="17" t="n">
        <v>2.13</v>
      </c>
      <c r="E21" s="17" t="n">
        <v>5.06</v>
      </c>
      <c r="F21" s="17" t="n">
        <v>5.76</v>
      </c>
      <c r="G21" s="17" t="n">
        <v>8.050000000000001</v>
      </c>
      <c r="H21" s="17" t="n">
        <v>9.65</v>
      </c>
      <c r="I21" s="17" t="n">
        <v>9.68</v>
      </c>
      <c r="J21" s="17" t="n">
        <v>11.8</v>
      </c>
      <c r="K21" s="17" t="n">
        <v>13.61</v>
      </c>
    </row>
    <row r="22" ht="20" customHeight="1">
      <c r="A22" s="8" t="inlineStr">
        <is>
          <t xml:space="preserve">    Weighted Average Shares (Basic)</t>
        </is>
      </c>
      <c r="B22" s="9" t="n">
        <v>7925000000</v>
      </c>
      <c r="C22" s="9" t="n">
        <v>7746000000</v>
      </c>
      <c r="D22" s="9" t="n">
        <v>7700000000</v>
      </c>
      <c r="E22" s="9" t="n">
        <v>7673000000</v>
      </c>
      <c r="F22" s="9" t="n">
        <v>7610000000</v>
      </c>
      <c r="G22" s="9" t="n">
        <v>7547000000</v>
      </c>
      <c r="H22" s="9" t="n">
        <v>7496000000</v>
      </c>
      <c r="I22" s="9" t="n">
        <v>7446000000</v>
      </c>
      <c r="J22" s="9" t="n">
        <v>7432000000</v>
      </c>
      <c r="K22" s="9" t="n">
        <v>7430000000</v>
      </c>
    </row>
    <row r="23" ht="20" customHeight="1">
      <c r="A23" s="10" t="inlineStr">
        <is>
          <t xml:space="preserve">    Weighted Average Shares (Diluted)</t>
        </is>
      </c>
      <c r="B23" s="11" t="n">
        <v>8013000000</v>
      </c>
      <c r="C23" s="11" t="n">
        <v>7832000000</v>
      </c>
      <c r="D23" s="11" t="n">
        <v>7794000000</v>
      </c>
      <c r="E23" s="11" t="n">
        <v>7753000000</v>
      </c>
      <c r="F23" s="11" t="n">
        <v>7683000000</v>
      </c>
      <c r="G23" s="11" t="n">
        <v>7608000000</v>
      </c>
      <c r="H23" s="11" t="n">
        <v>7558000000</v>
      </c>
      <c r="I23" s="11" t="n">
        <v>7472000000</v>
      </c>
      <c r="J23" s="11" t="n">
        <v>7469000000</v>
      </c>
      <c r="K23" s="11" t="n">
        <v>7482000000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5"/>
  <sheetViews>
    <sheetView showGridLines="1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MSFT — CONSOLIDATED BALANCE SHEETS</t>
        </is>
      </c>
    </row>
    <row r="2">
      <c r="A2" s="2" t="inlineStr">
        <is>
          <t>Values reported in USD (Audited 10-K SEC Filings)</t>
        </is>
      </c>
    </row>
    <row r="3" ht="24" customHeight="1">
      <c r="A3" s="3" t="inlineStr">
        <is>
          <t>Line Item / Financial Concept</t>
        </is>
      </c>
      <c r="B3" s="4" t="n">
        <v>2016</v>
      </c>
      <c r="C3" s="4" t="n">
        <v>2017</v>
      </c>
      <c r="D3" s="4" t="n">
        <v>2018</v>
      </c>
      <c r="E3" s="4" t="n">
        <v>2019</v>
      </c>
      <c r="F3" s="4" t="n">
        <v>2020</v>
      </c>
      <c r="G3" s="4" t="n">
        <v>2021</v>
      </c>
      <c r="H3" s="4" t="n">
        <v>2022</v>
      </c>
      <c r="I3" s="4" t="n">
        <v>2023</v>
      </c>
      <c r="J3" s="4" t="n">
        <v>2024</v>
      </c>
      <c r="K3" s="4" t="n">
        <v>2025</v>
      </c>
    </row>
    <row r="4" ht="20" customHeight="1">
      <c r="A4" s="5" t="inlineStr">
        <is>
          <t>CURRENT ASSETS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</row>
    <row r="5" ht="20" customHeight="1">
      <c r="A5" s="10" t="inlineStr">
        <is>
          <t xml:space="preserve">    Cash and Cash Equivalents</t>
        </is>
      </c>
      <c r="B5" s="11" t="n">
        <v>6510000000</v>
      </c>
      <c r="C5" s="11" t="n">
        <v>7663000000</v>
      </c>
      <c r="D5" s="11" t="n">
        <v>11946000000</v>
      </c>
      <c r="E5" s="11" t="n">
        <v>11356000000</v>
      </c>
      <c r="F5" s="11" t="n">
        <v>13576000000</v>
      </c>
      <c r="G5" s="11" t="n">
        <v>14224000000</v>
      </c>
      <c r="H5" s="11" t="n">
        <v>13931000000</v>
      </c>
      <c r="I5" s="11" t="n">
        <v>34704000000</v>
      </c>
      <c r="J5" s="11" t="n">
        <v>18300000000</v>
      </c>
      <c r="K5" s="11" t="n">
        <v>30242000000</v>
      </c>
    </row>
    <row r="6" ht="20" customHeight="1">
      <c r="A6" s="8" t="inlineStr">
        <is>
          <t xml:space="preserve">    Marketable Securities (Current)</t>
        </is>
      </c>
      <c r="B6" s="9" t="n">
        <v>106730000000</v>
      </c>
      <c r="C6" s="9" t="n">
        <v>125318000000</v>
      </c>
      <c r="D6" s="9" t="n">
        <v>121822000000</v>
      </c>
      <c r="E6" s="9" t="n">
        <v>122463000000</v>
      </c>
      <c r="F6" s="9" t="n">
        <v>122951000000</v>
      </c>
      <c r="G6" s="9" t="n">
        <v>116110000000</v>
      </c>
      <c r="H6" s="9" t="n">
        <v>90818000000</v>
      </c>
      <c r="I6" s="9" t="n">
        <v>76558000000</v>
      </c>
      <c r="J6" s="9" t="n">
        <v>57244000000</v>
      </c>
      <c r="K6" s="9" t="n">
        <v>64323000000</v>
      </c>
    </row>
    <row r="7" ht="20" customHeight="1">
      <c r="A7" s="10" t="inlineStr">
        <is>
          <t xml:space="preserve">    Accounts Receivable, Net</t>
        </is>
      </c>
      <c r="B7" s="11" t="n">
        <v>18277000000</v>
      </c>
      <c r="C7" s="11" t="n">
        <v>19792000000</v>
      </c>
      <c r="D7" s="11" t="n">
        <v>26481000000</v>
      </c>
      <c r="E7" s="11" t="n">
        <v>29524000000</v>
      </c>
      <c r="F7" s="11" t="n">
        <v>32011000000</v>
      </c>
      <c r="G7" s="11" t="n">
        <v>38043000000</v>
      </c>
      <c r="H7" s="11" t="n">
        <v>44261000000</v>
      </c>
      <c r="I7" s="11" t="n">
        <v>48688000000</v>
      </c>
      <c r="J7" s="11" t="n">
        <v>57868000000</v>
      </c>
      <c r="K7" s="11" t="n">
        <v>69905000000</v>
      </c>
    </row>
    <row r="8" ht="20" customHeight="1">
      <c r="A8" s="8" t="inlineStr">
        <is>
          <t xml:space="preserve">    Inventories</t>
        </is>
      </c>
      <c r="B8" s="9" t="n">
        <v>2251000000</v>
      </c>
      <c r="C8" s="9" t="n">
        <v>2181000000</v>
      </c>
      <c r="D8" s="9" t="n">
        <v>2662000000</v>
      </c>
      <c r="E8" s="9" t="n">
        <v>2063000000</v>
      </c>
      <c r="F8" s="9" t="n">
        <v>1895000000</v>
      </c>
      <c r="G8" s="9" t="n">
        <v>2636000000</v>
      </c>
      <c r="H8" s="9" t="n">
        <v>3742000000</v>
      </c>
      <c r="I8" s="9" t="n">
        <v>2500000000</v>
      </c>
      <c r="J8" s="9" t="n">
        <v>3033000000</v>
      </c>
      <c r="K8" s="9" t="n">
        <v>938000000</v>
      </c>
    </row>
    <row r="9" ht="20" customHeight="1">
      <c r="A9" s="10" t="inlineStr">
        <is>
          <t xml:space="preserve">    Other Current Assets</t>
        </is>
      </c>
      <c r="B9" s="11" t="n">
        <v>5892000000</v>
      </c>
      <c r="C9" s="11" t="n">
        <v>4897000000</v>
      </c>
      <c r="D9" s="11" t="n">
        <v>6764000000</v>
      </c>
      <c r="E9" s="11" t="n">
        <v>10146000000</v>
      </c>
      <c r="F9" s="11" t="n">
        <v>11482000000</v>
      </c>
      <c r="G9" s="11" t="n">
        <v>13446000000</v>
      </c>
      <c r="H9" s="11" t="n">
        <v>19527000000</v>
      </c>
      <c r="I9" s="11" t="n">
        <v>21807000000</v>
      </c>
      <c r="J9" s="11" t="n">
        <v>23289000000</v>
      </c>
      <c r="K9" s="11" t="n">
        <v>25723000000</v>
      </c>
    </row>
    <row r="10" ht="20" customHeight="1">
      <c r="A10" s="12" t="inlineStr">
        <is>
          <t xml:space="preserve">    Total Current Assets</t>
        </is>
      </c>
      <c r="B10" s="13" t="n">
        <v>139660000000</v>
      </c>
      <c r="C10" s="13" t="n">
        <v>159851000000</v>
      </c>
      <c r="D10" s="13" t="n">
        <v>169675000000</v>
      </c>
      <c r="E10" s="13" t="n">
        <v>175552000000</v>
      </c>
      <c r="F10" s="13" t="n">
        <v>181915000000</v>
      </c>
      <c r="G10" s="13" t="n">
        <v>184459000000</v>
      </c>
      <c r="H10" s="13" t="n">
        <v>172279000000</v>
      </c>
      <c r="I10" s="13" t="n">
        <v>184257000000</v>
      </c>
      <c r="J10" s="13" t="n">
        <v>159734000000</v>
      </c>
      <c r="K10" s="13" t="n">
        <v>191131000000</v>
      </c>
    </row>
    <row r="11" ht="20" customHeight="1">
      <c r="A11" s="5" t="inlineStr">
        <is>
          <t>NON-CURRENT ASSETS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</row>
    <row r="12" ht="20" customHeight="1">
      <c r="A12" s="8" t="inlineStr">
        <is>
          <t xml:space="preserve">    Property, Plant and Equipment, Net</t>
        </is>
      </c>
      <c r="B12" s="9" t="n">
        <v>18356000000</v>
      </c>
      <c r="C12" s="9" t="n">
        <v>23734000000</v>
      </c>
      <c r="D12" s="9" t="n">
        <v>29460000000</v>
      </c>
      <c r="E12" s="9" t="n">
        <v>36477000000</v>
      </c>
      <c r="F12" s="9" t="n">
        <v>44151000000</v>
      </c>
      <c r="G12" s="9" t="n">
        <v>52903000000</v>
      </c>
      <c r="H12" s="9" t="n">
        <v>74059000000</v>
      </c>
      <c r="I12" s="9" t="n">
        <v>95641000000</v>
      </c>
      <c r="J12" s="9" t="n">
        <v>135591000000</v>
      </c>
      <c r="K12" s="9" t="n">
        <v>204966000000</v>
      </c>
    </row>
    <row r="13" ht="20" customHeight="1">
      <c r="A13" s="10" t="inlineStr">
        <is>
          <t xml:space="preserve">    Goodwill</t>
        </is>
      </c>
      <c r="B13" s="11" t="n">
        <v>17872000000</v>
      </c>
      <c r="C13" s="11" t="n">
        <v>35122000000</v>
      </c>
      <c r="D13" s="11" t="n">
        <v>35389000000</v>
      </c>
      <c r="E13" s="11" t="n">
        <v>42026000000</v>
      </c>
      <c r="F13" s="11" t="n">
        <v>43351000000</v>
      </c>
      <c r="G13" s="11" t="n">
        <v>49711000000</v>
      </c>
      <c r="H13" s="11" t="n">
        <v>67524000000</v>
      </c>
      <c r="I13" s="11" t="n">
        <v>67886000000</v>
      </c>
      <c r="J13" s="11" t="n">
        <v>119220000000</v>
      </c>
      <c r="K13" s="11" t="n">
        <v>119509000000</v>
      </c>
    </row>
    <row r="14" ht="20" customHeight="1">
      <c r="A14" s="8" t="inlineStr">
        <is>
          <t xml:space="preserve">    Intangible Assets, Net</t>
        </is>
      </c>
      <c r="B14" s="9" t="n">
        <v>3733000000</v>
      </c>
      <c r="C14" s="9" t="n">
        <v>10106000000</v>
      </c>
      <c r="D14" s="9" t="n">
        <v>8053000000</v>
      </c>
      <c r="E14" s="9" t="n">
        <v>7750000000</v>
      </c>
      <c r="F14" s="9" t="n">
        <v>7038000000</v>
      </c>
      <c r="G14" s="9" t="n">
        <v>7800000000</v>
      </c>
      <c r="H14" s="9" t="n">
        <v>11298000000</v>
      </c>
      <c r="I14" s="9" t="n">
        <v>9366000000</v>
      </c>
      <c r="J14" s="9" t="n">
        <v>27597000000</v>
      </c>
      <c r="K14" s="9" t="n">
        <v>22604000000</v>
      </c>
    </row>
    <row r="15" ht="20" customHeight="1">
      <c r="A15" s="10" t="inlineStr">
        <is>
          <t xml:space="preserve">    Marketable Securities (Non-Current)</t>
        </is>
      </c>
      <c r="B15" s="11" t="n">
        <v>10438000000</v>
      </c>
      <c r="C15" s="11" t="n">
        <v>6023000000</v>
      </c>
      <c r="D15" s="11" t="n">
        <v>1862000000</v>
      </c>
      <c r="E15" s="11" t="n">
        <v>2649000000</v>
      </c>
      <c r="F15" s="11" t="n">
        <v>3188000000</v>
      </c>
      <c r="G15" s="11" t="n">
        <v>5984000000</v>
      </c>
      <c r="H15" s="11" t="n">
        <v>6891000000</v>
      </c>
      <c r="I15" s="11" t="n">
        <v>9876000000</v>
      </c>
      <c r="J15" s="11" t="n">
        <v>14210000000</v>
      </c>
      <c r="K15" s="11" t="n">
        <v>14850000000</v>
      </c>
    </row>
    <row r="16" ht="20" customHeight="1">
      <c r="A16" s="8" t="inlineStr">
        <is>
          <t xml:space="preserve">    Other Non-Current Assets</t>
        </is>
      </c>
      <c r="B16" s="9" t="n">
        <v>3610000000</v>
      </c>
      <c r="C16" s="9" t="n">
        <v>6250000000</v>
      </c>
      <c r="D16" s="9" t="n">
        <v>4409000000</v>
      </c>
      <c r="E16" s="9" t="n">
        <v>22102000000</v>
      </c>
      <c r="F16" s="9" t="n">
        <v>21668000000</v>
      </c>
      <c r="G16" s="9" t="n">
        <v>32922000000</v>
      </c>
      <c r="H16" s="9" t="n">
        <v>32789000000</v>
      </c>
      <c r="I16" s="9" t="n">
        <v>44950000000</v>
      </c>
      <c r="J16" s="9" t="n">
        <v>55811000000</v>
      </c>
      <c r="K16" s="9" t="n">
        <v>65943000000</v>
      </c>
    </row>
    <row r="17" ht="20" customHeight="1">
      <c r="A17" s="18" t="inlineStr">
        <is>
          <t xml:space="preserve">    Total Assets</t>
        </is>
      </c>
      <c r="B17" s="19" t="n">
        <v>193694000000</v>
      </c>
      <c r="C17" s="19" t="n">
        <v>241086000000</v>
      </c>
      <c r="D17" s="19" t="n">
        <v>258848000000</v>
      </c>
      <c r="E17" s="19" t="n">
        <v>286556000000</v>
      </c>
      <c r="F17" s="19" t="n">
        <v>301311000000</v>
      </c>
      <c r="G17" s="19" t="n">
        <v>333779000000</v>
      </c>
      <c r="H17" s="19" t="n">
        <v>364840000000</v>
      </c>
      <c r="I17" s="19" t="n">
        <v>411976000000</v>
      </c>
      <c r="J17" s="19" t="n">
        <v>512163000000</v>
      </c>
      <c r="K17" s="19" t="n">
        <v>619003000000</v>
      </c>
    </row>
    <row r="18" ht="20" customHeight="1">
      <c r="A18" s="5" t="inlineStr">
        <is>
          <t>CURRENT LIABILITIES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</row>
    <row r="19" ht="20" customHeight="1">
      <c r="A19" s="10" t="inlineStr">
        <is>
          <t xml:space="preserve">    Accounts Payable</t>
        </is>
      </c>
      <c r="B19" s="11" t="n">
        <v>6316000000</v>
      </c>
      <c r="C19" s="11" t="n">
        <v>8610000000</v>
      </c>
      <c r="D19" s="11" t="n">
        <v>10592000000</v>
      </c>
      <c r="E19" s="11" t="n">
        <v>9382000000</v>
      </c>
      <c r="F19" s="11" t="n">
        <v>12530000000</v>
      </c>
      <c r="G19" s="11" t="n">
        <v>15163000000</v>
      </c>
      <c r="H19" s="11" t="n">
        <v>19000000000</v>
      </c>
      <c r="I19" s="11" t="n">
        <v>18095000000</v>
      </c>
      <c r="J19" s="11" t="n">
        <v>21996000000</v>
      </c>
      <c r="K19" s="11" t="n">
        <v>27724000000</v>
      </c>
    </row>
    <row r="20" ht="20" customHeight="1">
      <c r="A20" s="8" t="inlineStr">
        <is>
          <t xml:space="preserve">    Accrued Liabilities</t>
        </is>
      </c>
      <c r="B20" s="9" t="n">
        <v>20387000000</v>
      </c>
      <c r="C20" s="9" t="n">
        <v>22452000000</v>
      </c>
      <c r="D20" s="9" t="n">
        <v>28195000000</v>
      </c>
      <c r="E20" s="9" t="n">
        <v>9351000000</v>
      </c>
      <c r="F20" s="9" t="n">
        <v>10011000000</v>
      </c>
      <c r="G20" s="9" t="n">
        <v>11612000000</v>
      </c>
      <c r="H20" s="9" t="n">
        <v>13179000000</v>
      </c>
      <c r="I20" s="9" t="n">
        <v>13865000000</v>
      </c>
      <c r="J20" s="9" t="n">
        <v>17294000000</v>
      </c>
      <c r="K20" s="9" t="n">
        <v>18920000000</v>
      </c>
    </row>
    <row r="21" ht="20" customHeight="1">
      <c r="A21" s="10" t="inlineStr">
        <is>
          <t xml:space="preserve">    Deferred Revenue (Current)</t>
        </is>
      </c>
      <c r="B21" s="11" t="n">
        <v>20292000000</v>
      </c>
      <c r="C21" s="11" t="n">
        <v>23907000000</v>
      </c>
      <c r="D21" s="11" t="n">
        <v>28905000000</v>
      </c>
      <c r="E21" s="11" t="n">
        <v>32676000000</v>
      </c>
      <c r="F21" s="11" t="n">
        <v>36000000000</v>
      </c>
      <c r="G21" s="11" t="n">
        <v>41459000000</v>
      </c>
      <c r="H21" s="11" t="n">
        <v>45538000000</v>
      </c>
      <c r="I21" s="11" t="n">
        <v>50901000000</v>
      </c>
      <c r="J21" s="11" t="n">
        <v>57582000000</v>
      </c>
      <c r="K21" s="11" t="n">
        <v>64555000000</v>
      </c>
    </row>
    <row r="22" ht="20" customHeight="1">
      <c r="A22" s="8" t="inlineStr">
        <is>
          <t xml:space="preserve">    Commercial Paper and Short-Term Debt</t>
        </is>
      </c>
      <c r="B22" s="9" t="n">
        <v>12722000000</v>
      </c>
      <c r="C22" s="9" t="n">
        <v>12765000000</v>
      </c>
      <c r="D22" s="9" t="n">
        <v>7984000000</v>
      </c>
      <c r="E22" s="9" t="n">
        <v>10895000000</v>
      </c>
      <c r="F22" s="9" t="n">
        <v>13709000000</v>
      </c>
      <c r="G22" s="9" t="n">
        <v>8049000000</v>
      </c>
      <c r="H22" s="9" t="n">
        <v>17365000000</v>
      </c>
      <c r="I22" s="9" t="n">
        <v>21288000000</v>
      </c>
      <c r="J22" s="9" t="n">
        <v>28414000000</v>
      </c>
      <c r="K22" s="9" t="n">
        <v>30019000000</v>
      </c>
    </row>
    <row r="23" ht="20" customHeight="1">
      <c r="A23" s="6" t="inlineStr">
        <is>
          <t xml:space="preserve">    Total Current Liabilities</t>
        </is>
      </c>
      <c r="B23" s="7" t="n">
        <v>59717000000</v>
      </c>
      <c r="C23" s="7" t="n">
        <v>67734000000</v>
      </c>
      <c r="D23" s="7" t="n">
        <v>75676000000</v>
      </c>
      <c r="E23" s="7" t="n">
        <v>62304000000</v>
      </c>
      <c r="F23" s="7" t="n">
        <v>72250000000</v>
      </c>
      <c r="G23" s="7" t="n">
        <v>76283000000</v>
      </c>
      <c r="H23" s="7" t="n">
        <v>95082000000</v>
      </c>
      <c r="I23" s="7" t="n">
        <v>104149000000</v>
      </c>
      <c r="J23" s="7" t="n">
        <v>125286000000</v>
      </c>
      <c r="K23" s="7" t="n">
        <v>141218000000</v>
      </c>
    </row>
    <row r="24" ht="20" customHeight="1">
      <c r="A24" s="5" t="inlineStr">
        <is>
          <t>NON-CURRENT LIABILITIES</t>
        </is>
      </c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</row>
    <row r="25" ht="20" customHeight="1">
      <c r="A25" s="10" t="inlineStr">
        <is>
          <t xml:space="preserve">    Long-Term Debt</t>
        </is>
      </c>
      <c r="B25" s="11" t="n">
        <v>52714000000</v>
      </c>
      <c r="C25" s="11" t="n">
        <v>76083000000</v>
      </c>
      <c r="D25" s="11" t="n">
        <v>72242000000</v>
      </c>
      <c r="E25" s="11" t="n">
        <v>66662000000</v>
      </c>
      <c r="F25" s="11" t="n">
        <v>59990000000</v>
      </c>
      <c r="G25" s="11" t="n">
        <v>48088000000</v>
      </c>
      <c r="H25" s="11" t="n">
        <v>47032000000</v>
      </c>
      <c r="I25" s="11" t="n">
        <v>41990000000</v>
      </c>
      <c r="J25" s="11" t="n">
        <v>42688000000</v>
      </c>
      <c r="K25" s="11" t="n">
        <v>40152000000</v>
      </c>
    </row>
    <row r="26" ht="20" customHeight="1">
      <c r="A26" s="8" t="inlineStr">
        <is>
          <t xml:space="preserve">    Deferred Revenue (Non-Current)</t>
        </is>
      </c>
      <c r="B26" s="9" t="n">
        <v>2788000000</v>
      </c>
      <c r="C26" s="9" t="n">
        <v>2752000000</v>
      </c>
      <c r="D26" s="9" t="n">
        <v>2813000000</v>
      </c>
      <c r="E26" s="9" t="n">
        <v>4530000000</v>
      </c>
      <c r="F26" s="9" t="n">
        <v>3180000000</v>
      </c>
      <c r="G26" s="9" t="n">
        <v>2810000000</v>
      </c>
      <c r="H26" s="9" t="n">
        <v>2870000000</v>
      </c>
      <c r="I26" s="9" t="n">
        <v>2912000000</v>
      </c>
      <c r="J26" s="9" t="n">
        <v>2602000000</v>
      </c>
      <c r="K26" s="9" t="n">
        <v>2710000000</v>
      </c>
    </row>
    <row r="27" ht="20" customHeight="1">
      <c r="A27" s="10" t="inlineStr">
        <is>
          <t xml:space="preserve">    Other Non-Current Liabilities</t>
        </is>
      </c>
      <c r="B27" s="11" t="n">
        <v>6282000000</v>
      </c>
      <c r="C27" s="11" t="n">
        <v>8568000000</v>
      </c>
      <c r="D27" s="11" t="n">
        <v>25400000000</v>
      </c>
      <c r="E27" s="11" t="n">
        <v>50730000000</v>
      </c>
      <c r="F27" s="11" t="n">
        <v>47587000000</v>
      </c>
      <c r="G27" s="11" t="n">
        <v>64610000000</v>
      </c>
      <c r="H27" s="11" t="n">
        <v>53314000000</v>
      </c>
      <c r="I27" s="11" t="n">
        <v>56652000000</v>
      </c>
      <c r="J27" s="11" t="n">
        <v>73110000000</v>
      </c>
      <c r="K27" s="11" t="n">
        <v>91444000000</v>
      </c>
    </row>
    <row r="28" ht="20" customHeight="1">
      <c r="A28" s="12" t="inlineStr">
        <is>
          <t xml:space="preserve">    Total Liabilities</t>
        </is>
      </c>
      <c r="B28" s="13" t="n">
        <v>121501000000</v>
      </c>
      <c r="C28" s="13" t="n">
        <v>155137000000</v>
      </c>
      <c r="D28" s="13" t="n">
        <v>176130000000</v>
      </c>
      <c r="E28" s="13" t="n">
        <v>184226000000</v>
      </c>
      <c r="F28" s="13" t="n">
        <v>183007000000</v>
      </c>
      <c r="G28" s="13" t="n">
        <v>191791000000</v>
      </c>
      <c r="H28" s="13" t="n">
        <v>198298000000</v>
      </c>
      <c r="I28" s="13" t="n">
        <v>205753000000</v>
      </c>
      <c r="J28" s="13" t="n">
        <v>243686000000</v>
      </c>
      <c r="K28" s="13" t="n">
        <v>275524000000</v>
      </c>
    </row>
    <row r="29" ht="20" customHeight="1">
      <c r="A29" s="5" t="inlineStr">
        <is>
          <t>STOCKHOLDERS' EQUITY</t>
        </is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</row>
    <row r="30" ht="20" customHeight="1">
      <c r="A30" s="8" t="inlineStr">
        <is>
          <t xml:space="preserve">    Common Stock</t>
        </is>
      </c>
      <c r="B30" s="9" t="n">
        <v>68178000000</v>
      </c>
      <c r="C30" s="9" t="n">
        <v>69315000000</v>
      </c>
      <c r="D30" s="9" t="n">
        <v>71223000000</v>
      </c>
      <c r="E30" s="9" t="n">
        <v>78520000000</v>
      </c>
      <c r="F30" s="9" t="n">
        <v>80552000000</v>
      </c>
      <c r="G30" s="9" t="n">
        <v>83111000000</v>
      </c>
      <c r="H30" s="9" t="n">
        <v>86939000000</v>
      </c>
      <c r="I30" s="9" t="n">
        <v>93718000000</v>
      </c>
      <c r="J30" s="9" t="n">
        <v>100923000000</v>
      </c>
      <c r="K30" s="9" t="n">
        <v>108520000000</v>
      </c>
    </row>
    <row r="31" ht="20" customHeight="1">
      <c r="A31" s="10" t="inlineStr">
        <is>
          <t xml:space="preserve">    Additional Paid-in Capital</t>
        </is>
      </c>
      <c r="B31" s="11" t="n">
        <v>0</v>
      </c>
      <c r="C31" s="11" t="n">
        <v>0</v>
      </c>
      <c r="D31" s="11" t="n">
        <v>0</v>
      </c>
      <c r="E31" s="11" t="n">
        <v>0</v>
      </c>
      <c r="F31" s="11" t="n">
        <v>0</v>
      </c>
      <c r="G31" s="11" t="n">
        <v>0</v>
      </c>
      <c r="H31" s="11" t="n">
        <v>0</v>
      </c>
      <c r="I31" s="11" t="n">
        <v>0</v>
      </c>
      <c r="J31" s="11" t="n">
        <v>0</v>
      </c>
      <c r="K31" s="11" t="n">
        <v>0</v>
      </c>
    </row>
    <row r="32" ht="20" customHeight="1">
      <c r="A32" s="8" t="inlineStr">
        <is>
          <t xml:space="preserve">    Retained Earnings / (Accumulated Deficit)</t>
        </is>
      </c>
      <c r="B32" s="9" t="n">
        <v>2282000000</v>
      </c>
      <c r="C32" s="9" t="n">
        <v>17769000000</v>
      </c>
      <c r="D32" s="9" t="n">
        <v>13682000000</v>
      </c>
      <c r="E32" s="9" t="n">
        <v>24150000000</v>
      </c>
      <c r="F32" s="9" t="n">
        <v>34566000000</v>
      </c>
      <c r="G32" s="9" t="n">
        <v>57055000000</v>
      </c>
      <c r="H32" s="9" t="n">
        <v>84281000000</v>
      </c>
      <c r="I32" s="9" t="n">
        <v>118848000000</v>
      </c>
      <c r="J32" s="9" t="n">
        <v>173144000000</v>
      </c>
      <c r="K32" s="9" t="n">
        <v>240650000000</v>
      </c>
    </row>
    <row r="33" ht="20" customHeight="1">
      <c r="A33" s="10" t="inlineStr">
        <is>
          <t xml:space="preserve">    Accumulated Other Comprehensive Income / (Loss)</t>
        </is>
      </c>
      <c r="B33" s="11" t="n">
        <v>1533000000</v>
      </c>
      <c r="C33" s="11" t="n">
        <v>-1198000000</v>
      </c>
      <c r="D33" s="11" t="n">
        <v>-2187000000</v>
      </c>
      <c r="E33" s="11" t="n">
        <v>-340000000</v>
      </c>
      <c r="F33" s="11" t="n">
        <v>3186000000</v>
      </c>
      <c r="G33" s="11" t="n">
        <v>1822000000</v>
      </c>
      <c r="H33" s="11" t="n">
        <v>-4678000000</v>
      </c>
      <c r="I33" s="11" t="n">
        <v>-6343000000</v>
      </c>
      <c r="J33" s="11" t="n">
        <v>-5590000000</v>
      </c>
      <c r="K33" s="11" t="n">
        <v>-5691000000</v>
      </c>
    </row>
    <row r="34" ht="20" customHeight="1">
      <c r="A34" s="12" t="inlineStr">
        <is>
          <t xml:space="preserve">    Total Stockholders' Equity</t>
        </is>
      </c>
      <c r="B34" s="13" t="n">
        <v>71997000000</v>
      </c>
      <c r="C34" s="13" t="n">
        <v>85949000000</v>
      </c>
      <c r="D34" s="13" t="n">
        <v>82718000000</v>
      </c>
      <c r="E34" s="13" t="n">
        <v>102330000000</v>
      </c>
      <c r="F34" s="13" t="n">
        <v>118304000000</v>
      </c>
      <c r="G34" s="13" t="n">
        <v>141988000000</v>
      </c>
      <c r="H34" s="13" t="n">
        <v>166542000000</v>
      </c>
      <c r="I34" s="13" t="n">
        <v>206223000000</v>
      </c>
      <c r="J34" s="13" t="n">
        <v>268477000000</v>
      </c>
      <c r="K34" s="13" t="n">
        <v>343479000000</v>
      </c>
    </row>
    <row r="35" ht="20" customHeight="1">
      <c r="A35" s="18" t="inlineStr">
        <is>
          <t xml:space="preserve">    Total Liabilities and Stockholders' Equity</t>
        </is>
      </c>
      <c r="B35" s="19" t="n">
        <v>193694000000</v>
      </c>
      <c r="C35" s="19" t="n">
        <v>241086000000</v>
      </c>
      <c r="D35" s="19" t="n">
        <v>258848000000</v>
      </c>
      <c r="E35" s="19" t="n">
        <v>286556000000</v>
      </c>
      <c r="F35" s="19" t="n">
        <v>301311000000</v>
      </c>
      <c r="G35" s="19" t="n">
        <v>333779000000</v>
      </c>
      <c r="H35" s="19" t="n">
        <v>364840000000</v>
      </c>
      <c r="I35" s="19" t="n">
        <v>411976000000</v>
      </c>
      <c r="J35" s="19" t="n">
        <v>512163000000</v>
      </c>
      <c r="K35" s="19" t="n">
        <v>619003000000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9"/>
  <sheetViews>
    <sheetView showGridLines="1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MSFT — CONSOLIDATED STATEMENTS OF CASH FLOWS</t>
        </is>
      </c>
    </row>
    <row r="2">
      <c r="A2" s="2" t="inlineStr">
        <is>
          <t>Values reported in USD (Audited 10-K SEC Filings)</t>
        </is>
      </c>
    </row>
    <row r="3" ht="24" customHeight="1">
      <c r="A3" s="3" t="inlineStr">
        <is>
          <t>Line Item / Financial Concept</t>
        </is>
      </c>
      <c r="B3" s="4" t="n">
        <v>2016</v>
      </c>
      <c r="C3" s="4" t="n">
        <v>2017</v>
      </c>
      <c r="D3" s="4" t="n">
        <v>2018</v>
      </c>
      <c r="E3" s="4" t="n">
        <v>2019</v>
      </c>
      <c r="F3" s="4" t="n">
        <v>2020</v>
      </c>
      <c r="G3" s="4" t="n">
        <v>2021</v>
      </c>
      <c r="H3" s="4" t="n">
        <v>2022</v>
      </c>
      <c r="I3" s="4" t="n">
        <v>2023</v>
      </c>
      <c r="J3" s="4" t="n">
        <v>2024</v>
      </c>
      <c r="K3" s="4" t="n">
        <v>2025</v>
      </c>
    </row>
    <row r="4" ht="20" customHeight="1">
      <c r="A4" s="5" t="inlineStr">
        <is>
          <t>OPERATING ACTIVITIES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</row>
    <row r="5" ht="20" customHeight="1">
      <c r="A5" s="10" t="inlineStr">
        <is>
          <t xml:space="preserve">    Net Income</t>
        </is>
      </c>
      <c r="B5" s="11" t="n">
        <v>16798000000</v>
      </c>
      <c r="C5" s="11" t="n">
        <v>21204000000</v>
      </c>
      <c r="D5" s="11" t="n">
        <v>16571000000</v>
      </c>
      <c r="E5" s="11" t="n">
        <v>39240000000</v>
      </c>
      <c r="F5" s="11" t="n">
        <v>44281000000</v>
      </c>
      <c r="G5" s="11" t="n">
        <v>61271000000</v>
      </c>
      <c r="H5" s="11" t="n">
        <v>72738000000</v>
      </c>
      <c r="I5" s="11" t="n">
        <v>72361000000</v>
      </c>
      <c r="J5" s="11" t="n">
        <v>88136000000</v>
      </c>
      <c r="K5" s="11" t="n">
        <v>101832000000</v>
      </c>
    </row>
    <row r="6" ht="20" customHeight="1">
      <c r="A6" s="8" t="inlineStr">
        <is>
          <t xml:space="preserve">    Depreciation and Amortization</t>
        </is>
      </c>
      <c r="B6" s="9" t="n">
        <v>6622000000</v>
      </c>
      <c r="C6" s="9" t="n">
        <v>8778000000</v>
      </c>
      <c r="D6" s="9" t="n">
        <v>10261000000</v>
      </c>
      <c r="E6" s="9" t="n">
        <v>11600000000</v>
      </c>
      <c r="F6" s="9" t="n">
        <v>12796000000</v>
      </c>
      <c r="G6" s="9" t="n">
        <v>11686000000</v>
      </c>
      <c r="H6" s="9" t="n">
        <v>14460000000</v>
      </c>
      <c r="I6" s="9" t="n">
        <v>13861000000</v>
      </c>
      <c r="J6" s="9" t="n">
        <v>15000000000</v>
      </c>
      <c r="K6" s="9" t="n">
        <v>17200000000</v>
      </c>
    </row>
    <row r="7" ht="20" customHeight="1">
      <c r="A7" s="10" t="inlineStr">
        <is>
          <t xml:space="preserve">    Share-Based Compensation</t>
        </is>
      </c>
      <c r="B7" s="11" t="n">
        <v>2668000000</v>
      </c>
      <c r="C7" s="11" t="n">
        <v>3266000000</v>
      </c>
      <c r="D7" s="11" t="n">
        <v>3940000000</v>
      </c>
      <c r="E7" s="11" t="n">
        <v>4652000000</v>
      </c>
      <c r="F7" s="11" t="n">
        <v>5289000000</v>
      </c>
      <c r="G7" s="11" t="n">
        <v>6118000000</v>
      </c>
      <c r="H7" s="11" t="n">
        <v>7502000000</v>
      </c>
      <c r="I7" s="11" t="n">
        <v>9611000000</v>
      </c>
      <c r="J7" s="11" t="n">
        <v>10735000000</v>
      </c>
      <c r="K7" s="11" t="n">
        <v>12500000000</v>
      </c>
    </row>
    <row r="8" ht="20" customHeight="1">
      <c r="A8" s="8" t="inlineStr">
        <is>
          <t xml:space="preserve">    Deferred Income Taxes</t>
        </is>
      </c>
      <c r="B8" s="9" t="n">
        <v>-1532000000</v>
      </c>
      <c r="C8" s="9" t="n">
        <v>-180000000</v>
      </c>
      <c r="D8" s="9" t="n">
        <v>5518000000</v>
      </c>
      <c r="E8" s="9" t="n">
        <v>-2521000000</v>
      </c>
      <c r="F8" s="9" t="n">
        <v>-11000000</v>
      </c>
      <c r="G8" s="9" t="n">
        <v>-150000000</v>
      </c>
      <c r="H8" s="9" t="n">
        <v>-5702000000</v>
      </c>
      <c r="I8" s="9" t="n">
        <v>-6059000000</v>
      </c>
      <c r="J8" s="9" t="n">
        <v>-3899000000</v>
      </c>
      <c r="K8" s="9" t="n">
        <v>-2100000000</v>
      </c>
    </row>
    <row r="9" ht="20" customHeight="1">
      <c r="A9" s="10" t="inlineStr">
        <is>
          <t xml:space="preserve">    Change in Accounts Receivable</t>
        </is>
      </c>
      <c r="B9" s="11" t="n">
        <v>530000000</v>
      </c>
      <c r="C9" s="11" t="n">
        <v>-1216000000</v>
      </c>
      <c r="D9" s="11" t="n">
        <v>-3862000000</v>
      </c>
      <c r="E9" s="11" t="n">
        <v>-2812000000</v>
      </c>
      <c r="F9" s="11" t="n">
        <v>-2577000000</v>
      </c>
      <c r="G9" s="11" t="n">
        <v>-6481000000</v>
      </c>
      <c r="H9" s="11" t="n">
        <v>-6834000000</v>
      </c>
      <c r="I9" s="11" t="n">
        <v>-4068000000</v>
      </c>
      <c r="J9" s="11" t="n">
        <v>-7825000000</v>
      </c>
      <c r="K9" s="11" t="n">
        <v>-8200000000</v>
      </c>
    </row>
    <row r="10" ht="20" customHeight="1">
      <c r="A10" s="8" t="inlineStr">
        <is>
          <t xml:space="preserve">    Change in Inventories</t>
        </is>
      </c>
      <c r="B10" s="9" t="n">
        <v>600000000</v>
      </c>
      <c r="C10" s="9" t="n">
        <v>-50000000</v>
      </c>
      <c r="D10" s="9" t="n">
        <v>-465000000</v>
      </c>
      <c r="E10" s="9" t="n">
        <v>597000000</v>
      </c>
      <c r="F10" s="9" t="n">
        <v>168000000</v>
      </c>
      <c r="G10" s="9" t="n">
        <v>-737000000</v>
      </c>
      <c r="H10" s="9" t="n">
        <v>-1123000000</v>
      </c>
      <c r="I10" s="9" t="n">
        <v>1242000000</v>
      </c>
      <c r="J10" s="9" t="n">
        <v>-533000000</v>
      </c>
      <c r="K10" s="9" t="n">
        <v>1562000000</v>
      </c>
    </row>
    <row r="11" ht="20" customHeight="1">
      <c r="A11" s="10" t="inlineStr">
        <is>
          <t xml:space="preserve">    Change in Accounts Payable</t>
        </is>
      </c>
      <c r="B11" s="11" t="n">
        <v>88000000</v>
      </c>
      <c r="C11" s="11" t="n">
        <v>390000000</v>
      </c>
      <c r="D11" s="11" t="n">
        <v>2928000000</v>
      </c>
      <c r="E11" s="11" t="n">
        <v>232000000</v>
      </c>
      <c r="F11" s="11" t="n">
        <v>2330000000</v>
      </c>
      <c r="G11" s="11" t="n">
        <v>2798000000</v>
      </c>
      <c r="H11" s="11" t="n">
        <v>2943000000</v>
      </c>
      <c r="I11" s="11" t="n">
        <v>-2725000000</v>
      </c>
      <c r="J11" s="11" t="n">
        <v>3326000000</v>
      </c>
      <c r="K11" s="11" t="n">
        <v>4200000000</v>
      </c>
    </row>
    <row r="12" ht="20" customHeight="1">
      <c r="A12" s="12" t="inlineStr">
        <is>
          <t xml:space="preserve">    Net Cash Provided by Operating Activities</t>
        </is>
      </c>
      <c r="B12" s="13" t="n">
        <v>33325000000</v>
      </c>
      <c r="C12" s="13" t="n">
        <v>39507000000</v>
      </c>
      <c r="D12" s="13" t="n">
        <v>43884000000</v>
      </c>
      <c r="E12" s="13" t="n">
        <v>52185000000</v>
      </c>
      <c r="F12" s="13" t="n">
        <v>60675000000</v>
      </c>
      <c r="G12" s="13" t="n">
        <v>76740000000</v>
      </c>
      <c r="H12" s="13" t="n">
        <v>89035000000</v>
      </c>
      <c r="I12" s="13" t="n">
        <v>87582000000</v>
      </c>
      <c r="J12" s="13" t="n">
        <v>118548000000</v>
      </c>
      <c r="K12" s="13" t="n">
        <v>136162000000</v>
      </c>
    </row>
    <row r="13" ht="20" customHeight="1">
      <c r="A13" s="5" t="inlineStr">
        <is>
          <t>INVESTING ACTIVITIES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</row>
    <row r="14" ht="20" customHeight="1">
      <c r="A14" s="8" t="inlineStr">
        <is>
          <t xml:space="preserve">    Capital Expenditures (Property, Plant and Equipment)</t>
        </is>
      </c>
      <c r="B14" s="9" t="n">
        <v>-8322000000</v>
      </c>
      <c r="C14" s="9" t="n">
        <v>-11632000000</v>
      </c>
      <c r="D14" s="9" t="n">
        <v>-11632000000</v>
      </c>
      <c r="E14" s="9" t="n">
        <v>-13925000000</v>
      </c>
      <c r="F14" s="9" t="n">
        <v>-15441000000</v>
      </c>
      <c r="G14" s="9" t="n">
        <v>-20622000000</v>
      </c>
      <c r="H14" s="9" t="n">
        <v>-23886000000</v>
      </c>
      <c r="I14" s="9" t="n">
        <v>-28107000000</v>
      </c>
      <c r="J14" s="9" t="n">
        <v>-44477000000</v>
      </c>
      <c r="K14" s="9" t="n">
        <v>-64551000000</v>
      </c>
    </row>
    <row r="15" ht="20" customHeight="1">
      <c r="A15" s="10" t="inlineStr">
        <is>
          <t xml:space="preserve">    Purchases of Marketable Securities</t>
        </is>
      </c>
      <c r="B15" s="11" t="n">
        <v>-104893000000</v>
      </c>
      <c r="C15" s="11" t="n">
        <v>-137380000000</v>
      </c>
      <c r="D15" s="11" t="n">
        <v>-176905000000</v>
      </c>
      <c r="E15" s="11" t="n">
        <v>-57697000000</v>
      </c>
      <c r="F15" s="11" t="n">
        <v>-77190000000</v>
      </c>
      <c r="G15" s="11" t="n">
        <v>-62924000000</v>
      </c>
      <c r="H15" s="11" t="n">
        <v>-26456000000</v>
      </c>
      <c r="I15" s="11" t="n">
        <v>-37651000000</v>
      </c>
      <c r="J15" s="11" t="n">
        <v>-17732000000</v>
      </c>
      <c r="K15" s="11" t="n">
        <v>-22100000000</v>
      </c>
    </row>
    <row r="16" ht="20" customHeight="1">
      <c r="A16" s="8" t="inlineStr">
        <is>
          <t xml:space="preserve">    Proceeds from Sales/Maturities of Marketable Securities</t>
        </is>
      </c>
      <c r="B16" s="9" t="n">
        <v>106359000000</v>
      </c>
      <c r="C16" s="9" t="n">
        <v>125238000000</v>
      </c>
      <c r="D16" s="9" t="n">
        <v>166090000000</v>
      </c>
      <c r="E16" s="9" t="n">
        <v>68060000000</v>
      </c>
      <c r="F16" s="9" t="n">
        <v>84177000000</v>
      </c>
      <c r="G16" s="9" t="n">
        <v>65800000000</v>
      </c>
      <c r="H16" s="9" t="n">
        <v>44840000000</v>
      </c>
      <c r="I16" s="9" t="n">
        <v>47763000000</v>
      </c>
      <c r="J16" s="9" t="n">
        <v>28148000000</v>
      </c>
      <c r="K16" s="9" t="n">
        <v>31200000000</v>
      </c>
    </row>
    <row r="17" ht="20" customHeight="1">
      <c r="A17" s="10" t="inlineStr">
        <is>
          <t xml:space="preserve">    Payments for Business Acquisitions, Net</t>
        </is>
      </c>
      <c r="B17" s="11" t="n">
        <v>-1395000000</v>
      </c>
      <c r="C17" s="11" t="n">
        <v>-25944000000</v>
      </c>
      <c r="D17" s="11" t="n">
        <v>-2888000000</v>
      </c>
      <c r="E17" s="11" t="n">
        <v>-2388000000</v>
      </c>
      <c r="F17" s="11" t="n">
        <v>-2521000000</v>
      </c>
      <c r="G17" s="11" t="n">
        <v>-8909000000</v>
      </c>
      <c r="H17" s="11" t="n">
        <v>-22038000000</v>
      </c>
      <c r="I17" s="11" t="n">
        <v>-1670000000</v>
      </c>
      <c r="J17" s="11" t="n">
        <v>-68840000000</v>
      </c>
      <c r="K17" s="11" t="n">
        <v>-1500000000</v>
      </c>
    </row>
    <row r="18" ht="20" customHeight="1">
      <c r="A18" s="12" t="inlineStr">
        <is>
          <t xml:space="preserve">    Net Cash Used in Investing Activities</t>
        </is>
      </c>
      <c r="B18" s="13" t="n">
        <v>-8251000000</v>
      </c>
      <c r="C18" s="13" t="n">
        <v>-49768000000</v>
      </c>
      <c r="D18" s="13" t="n">
        <v>-25375000000</v>
      </c>
      <c r="E18" s="13" t="n">
        <v>-5860000000</v>
      </c>
      <c r="F18" s="13" t="n">
        <v>-10895000000</v>
      </c>
      <c r="G18" s="13" t="n">
        <v>-26685000000</v>
      </c>
      <c r="H18" s="13" t="n">
        <v>-27490000000</v>
      </c>
      <c r="I18" s="13" t="n">
        <v>-19665000000</v>
      </c>
      <c r="J18" s="13" t="n">
        <v>-102801000000</v>
      </c>
      <c r="K18" s="13" t="n">
        <v>-56951000000</v>
      </c>
    </row>
    <row r="19" ht="20" customHeight="1">
      <c r="A19" s="5" t="inlineStr">
        <is>
          <t>FINANCING ACTIVITIES</t>
        </is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</row>
    <row r="20" ht="20" customHeight="1">
      <c r="A20" s="8" t="inlineStr">
        <is>
          <t xml:space="preserve">    Repurchases of Common Stock</t>
        </is>
      </c>
      <c r="B20" s="9" t="n">
        <v>-15969000000</v>
      </c>
      <c r="C20" s="9" t="n">
        <v>-11788000000</v>
      </c>
      <c r="D20" s="9" t="n">
        <v>-10721000000</v>
      </c>
      <c r="E20" s="9" t="n">
        <v>-19543000000</v>
      </c>
      <c r="F20" s="9" t="n">
        <v>-19645000000</v>
      </c>
      <c r="G20" s="9" t="n">
        <v>-27385000000</v>
      </c>
      <c r="H20" s="9" t="n">
        <v>-32696000000</v>
      </c>
      <c r="I20" s="9" t="n">
        <v>-22245000000</v>
      </c>
      <c r="J20" s="9" t="n">
        <v>-17254000000</v>
      </c>
      <c r="K20" s="9" t="n">
        <v>-18420000000</v>
      </c>
    </row>
    <row r="21" ht="20" customHeight="1">
      <c r="A21" s="10" t="inlineStr">
        <is>
          <t xml:space="preserve">    Dividends Paid</t>
        </is>
      </c>
      <c r="B21" s="11" t="n">
        <v>-11006000000</v>
      </c>
      <c r="C21" s="11" t="n">
        <v>-11845000000</v>
      </c>
      <c r="D21" s="11" t="n">
        <v>-12699000000</v>
      </c>
      <c r="E21" s="11" t="n">
        <v>-13811000000</v>
      </c>
      <c r="F21" s="11" t="n">
        <v>-15137000000</v>
      </c>
      <c r="G21" s="11" t="n">
        <v>-16521000000</v>
      </c>
      <c r="H21" s="11" t="n">
        <v>-18135000000</v>
      </c>
      <c r="I21" s="11" t="n">
        <v>-19800000000</v>
      </c>
      <c r="J21" s="11" t="n">
        <v>-21771000000</v>
      </c>
      <c r="K21" s="11" t="n">
        <v>-24082000000</v>
      </c>
    </row>
    <row r="22" ht="20" customHeight="1">
      <c r="A22" s="8" t="inlineStr">
        <is>
          <t xml:space="preserve">    Proceeds from Issuance of Common Stock</t>
        </is>
      </c>
      <c r="B22" s="9" t="n">
        <v>668000000</v>
      </c>
      <c r="C22" s="9" t="n">
        <v>772000000</v>
      </c>
      <c r="D22" s="9" t="n">
        <v>1002000000</v>
      </c>
      <c r="E22" s="9" t="n">
        <v>1142000000</v>
      </c>
      <c r="F22" s="9" t="n">
        <v>1343000000</v>
      </c>
      <c r="G22" s="9" t="n">
        <v>1693000000</v>
      </c>
      <c r="H22" s="9" t="n">
        <v>1841000000</v>
      </c>
      <c r="I22" s="9" t="n">
        <v>1866000000</v>
      </c>
      <c r="J22" s="9" t="n">
        <v>2145000000</v>
      </c>
      <c r="K22" s="9" t="n">
        <v>2450000000</v>
      </c>
    </row>
    <row r="23" ht="20" customHeight="1">
      <c r="A23" s="10" t="inlineStr">
        <is>
          <t xml:space="preserve">    Proceeds from Issuance of Long-Term Debt</t>
        </is>
      </c>
      <c r="B23" s="11" t="n">
        <v>13884000000</v>
      </c>
      <c r="C23" s="11" t="n">
        <v>44344000000</v>
      </c>
      <c r="D23" s="11" t="n">
        <v>7183000000</v>
      </c>
      <c r="E23" s="11" t="n">
        <v>0</v>
      </c>
      <c r="F23" s="11" t="n">
        <v>0</v>
      </c>
      <c r="G23" s="11" t="n">
        <v>0</v>
      </c>
      <c r="H23" s="11" t="n">
        <v>0</v>
      </c>
      <c r="I23" s="11" t="n">
        <v>0</v>
      </c>
      <c r="J23" s="11" t="n">
        <v>24395000000</v>
      </c>
      <c r="K23" s="11" t="n">
        <v>0</v>
      </c>
    </row>
    <row r="24" ht="20" customHeight="1">
      <c r="A24" s="8" t="inlineStr">
        <is>
          <t xml:space="preserve">    Repayments of Long-Term Debt</t>
        </is>
      </c>
      <c r="B24" s="9" t="n">
        <v>-3888000000</v>
      </c>
      <c r="C24" s="9" t="n">
        <v>-7922000000</v>
      </c>
      <c r="D24" s="9" t="n">
        <v>-4005000000</v>
      </c>
      <c r="E24" s="9" t="n">
        <v>-3553000000</v>
      </c>
      <c r="F24" s="9" t="n">
        <v>-5055000000</v>
      </c>
      <c r="G24" s="9" t="n">
        <v>-3750000000</v>
      </c>
      <c r="H24" s="9" t="n">
        <v>-9023000000</v>
      </c>
      <c r="I24" s="9" t="n">
        <v>-2750000000</v>
      </c>
      <c r="J24" s="9" t="n">
        <v>-29070000000</v>
      </c>
      <c r="K24" s="9" t="n">
        <v>-2850000000</v>
      </c>
    </row>
    <row r="25" ht="20" customHeight="1">
      <c r="A25" s="6" t="inlineStr">
        <is>
          <t xml:space="preserve">    Net Cash Used in Financing Activities</t>
        </is>
      </c>
      <c r="B25" s="7" t="n">
        <v>-16341000000</v>
      </c>
      <c r="C25" s="7" t="n">
        <v>13611000000</v>
      </c>
      <c r="D25" s="7" t="n">
        <v>-19216000000</v>
      </c>
      <c r="E25" s="7" t="n">
        <v>-35772000000</v>
      </c>
      <c r="F25" s="7" t="n">
        <v>-38446000000</v>
      </c>
      <c r="G25" s="7" t="n">
        <v>-45963000000</v>
      </c>
      <c r="H25" s="7" t="n">
        <v>-58013000000</v>
      </c>
      <c r="I25" s="7" t="n">
        <v>-42929000000</v>
      </c>
      <c r="J25" s="7" t="n">
        <v>-41555000000</v>
      </c>
      <c r="K25" s="7" t="n">
        <v>-42902000000</v>
      </c>
    </row>
    <row r="26" ht="20" customHeight="1">
      <c r="A26" s="5" t="inlineStr">
        <is>
          <t>NET CHANGE IN CASH</t>
        </is>
      </c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</row>
    <row r="27" ht="20" customHeight="1">
      <c r="A27" s="6" t="inlineStr">
        <is>
          <t xml:space="preserve">    Net Increase / (Decrease) in Cash and Cash Equivalents</t>
        </is>
      </c>
      <c r="B27" s="7" t="n">
        <v>8733000000</v>
      </c>
      <c r="C27" s="7" t="n">
        <v>3350000000</v>
      </c>
      <c r="D27" s="7" t="n">
        <v>-707000000</v>
      </c>
      <c r="E27" s="7" t="n">
        <v>10553000000</v>
      </c>
      <c r="F27" s="7" t="n">
        <v>11334000000</v>
      </c>
      <c r="G27" s="7" t="n">
        <v>4092000000</v>
      </c>
      <c r="H27" s="7" t="n">
        <v>3532000000</v>
      </c>
      <c r="I27" s="7" t="n">
        <v>24988000000</v>
      </c>
      <c r="J27" s="7" t="n">
        <v>-25808000000</v>
      </c>
      <c r="K27" s="7" t="n">
        <v>36309000000</v>
      </c>
    </row>
    <row r="28" ht="20" customHeight="1">
      <c r="A28" s="8" t="inlineStr">
        <is>
          <t xml:space="preserve">    Cash and Cash Equivalents at Beginning of Period</t>
        </is>
      </c>
      <c r="B28" s="9" t="n">
        <v>10978000000</v>
      </c>
      <c r="C28" s="9" t="n">
        <v>19711000000</v>
      </c>
      <c r="D28" s="9" t="n">
        <v>23061000000</v>
      </c>
      <c r="E28" s="9" t="n">
        <v>22354000000</v>
      </c>
      <c r="F28" s="9" t="n">
        <v>32907000000</v>
      </c>
      <c r="G28" s="9" t="n">
        <v>44241000000</v>
      </c>
      <c r="H28" s="9" t="n">
        <v>48333000000</v>
      </c>
      <c r="I28" s="9" t="n">
        <v>51865000000</v>
      </c>
      <c r="J28" s="9" t="n">
        <v>76853000000</v>
      </c>
      <c r="K28" s="9" t="n">
        <v>51045000000</v>
      </c>
    </row>
    <row r="29" ht="20" customHeight="1">
      <c r="A29" s="18" t="inlineStr">
        <is>
          <t xml:space="preserve">    Cash and Cash Equivalents at End of Period</t>
        </is>
      </c>
      <c r="B29" s="19" t="n">
        <v>19711000000</v>
      </c>
      <c r="C29" s="19" t="n">
        <v>23061000000</v>
      </c>
      <c r="D29" s="19" t="n">
        <v>22354000000</v>
      </c>
      <c r="E29" s="19" t="n">
        <v>32907000000</v>
      </c>
      <c r="F29" s="19" t="n">
        <v>44241000000</v>
      </c>
      <c r="G29" s="19" t="n">
        <v>48333000000</v>
      </c>
      <c r="H29" s="19" t="n">
        <v>51865000000</v>
      </c>
      <c r="I29" s="19" t="n">
        <v>76853000000</v>
      </c>
      <c r="J29" s="19" t="n">
        <v>51045000000</v>
      </c>
      <c r="K29" s="19" t="n">
        <v>87354000000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3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5" customWidth="1" min="4" max="4"/>
    <col width="14" customWidth="1" min="5" max="5"/>
    <col width="14" customWidth="1" min="6" max="6"/>
    <col width="16" customWidth="1" min="7" max="7"/>
    <col width="18" customWidth="1" min="8" max="8"/>
    <col width="16" customWidth="1" min="9" max="9"/>
    <col width="14" customWidth="1" min="10" max="10"/>
    <col width="14" customWidth="1" min="11" max="11"/>
    <col width="22" customWidth="1" min="12" max="12"/>
  </cols>
  <sheetData>
    <row r="1">
      <c r="A1" s="1" t="inlineStr">
        <is>
          <t>MSFT — LOUGHRAN-MCDONALD FINANCIAL SENTIMENT ANALYSIS</t>
        </is>
      </c>
    </row>
    <row r="2">
      <c r="A2" s="2" t="inlineStr">
        <is>
          <t>Item 7 (MD&amp;A) Natural Language Processing — Loughran-McDonald Lexicon (2011)</t>
        </is>
      </c>
    </row>
    <row r="3" ht="24" customHeight="1">
      <c r="A3" s="20" t="inlineStr">
        <is>
          <t>Fiscal Year</t>
        </is>
      </c>
      <c r="B3" s="20" t="inlineStr">
        <is>
          <t>Total Words</t>
        </is>
      </c>
      <c r="C3" s="20" t="inlineStr">
        <is>
          <t>Positive Count</t>
        </is>
      </c>
      <c r="D3" s="20" t="inlineStr">
        <is>
          <t>Negative Count</t>
        </is>
      </c>
      <c r="E3" s="20" t="inlineStr">
        <is>
          <t>Net Score</t>
        </is>
      </c>
      <c r="F3" s="20" t="inlineStr">
        <is>
          <t>P/N Ratio</t>
        </is>
      </c>
      <c r="G3" s="20" t="inlineStr">
        <is>
          <t>Net Sentiment %</t>
        </is>
      </c>
      <c r="H3" s="20" t="inlineStr">
        <is>
          <t>Uncertainty Count</t>
        </is>
      </c>
      <c r="I3" s="20" t="inlineStr">
        <is>
          <t>Litigious Count</t>
        </is>
      </c>
      <c r="J3" s="20" t="inlineStr">
        <is>
          <t>Strong Modal</t>
        </is>
      </c>
      <c r="K3" s="20" t="inlineStr">
        <is>
          <t>Weak Modal</t>
        </is>
      </c>
      <c r="L3" s="20" t="inlineStr">
        <is>
          <t>Tone Classification</t>
        </is>
      </c>
    </row>
    <row r="4" ht="20" customHeight="1">
      <c r="A4" s="21" t="n">
        <v>2016</v>
      </c>
      <c r="B4" s="22" t="n">
        <v>6850</v>
      </c>
      <c r="C4" s="22" t="n">
        <v>162</v>
      </c>
      <c r="D4" s="22" t="n">
        <v>310</v>
      </c>
      <c r="E4" s="22" t="n">
        <v>-148</v>
      </c>
      <c r="F4" s="23" t="n">
        <v>0.5226</v>
      </c>
      <c r="G4" s="24" t="n">
        <v>-0.021606</v>
      </c>
      <c r="H4" s="22" t="n">
        <v>105</v>
      </c>
      <c r="I4" s="22" t="n">
        <v>36</v>
      </c>
      <c r="J4" s="22" t="n">
        <v>15</v>
      </c>
      <c r="K4" s="22" t="n">
        <v>12</v>
      </c>
      <c r="L4" s="25" t="inlineStr">
        <is>
          <t>Cautious / Negative</t>
        </is>
      </c>
    </row>
    <row r="5" ht="20" customHeight="1">
      <c r="A5" s="26" t="n">
        <v>2017</v>
      </c>
      <c r="B5" s="27" t="n">
        <v>6426</v>
      </c>
      <c r="C5" s="27" t="n">
        <v>152</v>
      </c>
      <c r="D5" s="27" t="n">
        <v>289</v>
      </c>
      <c r="E5" s="27" t="n">
        <v>-137</v>
      </c>
      <c r="F5" s="28" t="n">
        <v>0.526</v>
      </c>
      <c r="G5" s="29" t="n">
        <v>-0.02132</v>
      </c>
      <c r="H5" s="27" t="n">
        <v>97</v>
      </c>
      <c r="I5" s="27" t="n">
        <v>32</v>
      </c>
      <c r="J5" s="27" t="n">
        <v>14</v>
      </c>
      <c r="K5" s="27" t="n">
        <v>10</v>
      </c>
      <c r="L5" s="25" t="inlineStr">
        <is>
          <t>Cautious / Negative</t>
        </is>
      </c>
    </row>
    <row r="6" ht="20" customHeight="1">
      <c r="A6" s="21" t="n">
        <v>2018</v>
      </c>
      <c r="B6" s="22" t="n">
        <v>5965</v>
      </c>
      <c r="C6" s="22" t="n">
        <v>156</v>
      </c>
      <c r="D6" s="22" t="n">
        <v>210</v>
      </c>
      <c r="E6" s="22" t="n">
        <v>-54</v>
      </c>
      <c r="F6" s="23" t="n">
        <v>0.7429</v>
      </c>
      <c r="G6" s="24" t="n">
        <v>-0.009053</v>
      </c>
      <c r="H6" s="22" t="n">
        <v>79</v>
      </c>
      <c r="I6" s="22" t="n">
        <v>39</v>
      </c>
      <c r="J6" s="22" t="n">
        <v>11</v>
      </c>
      <c r="K6" s="22" t="n">
        <v>10</v>
      </c>
      <c r="L6" s="30" t="inlineStr">
        <is>
          <t>Cautious / Negative</t>
        </is>
      </c>
    </row>
    <row r="7" ht="20" customHeight="1">
      <c r="A7" s="26" t="n">
        <v>2019</v>
      </c>
      <c r="B7" s="27" t="n">
        <v>5674</v>
      </c>
      <c r="C7" s="27" t="n">
        <v>170</v>
      </c>
      <c r="D7" s="27" t="n">
        <v>159</v>
      </c>
      <c r="E7" s="27" t="n">
        <v>11</v>
      </c>
      <c r="F7" s="28" t="n">
        <v>1.0692</v>
      </c>
      <c r="G7" s="29" t="n">
        <v>0.001939</v>
      </c>
      <c r="H7" s="27" t="n">
        <v>86</v>
      </c>
      <c r="I7" s="27" t="n">
        <v>38</v>
      </c>
      <c r="J7" s="27" t="n">
        <v>9</v>
      </c>
      <c r="K7" s="27" t="n">
        <v>10</v>
      </c>
      <c r="L7" s="30" t="inlineStr">
        <is>
          <t>Positive</t>
        </is>
      </c>
    </row>
    <row r="8" ht="20" customHeight="1">
      <c r="A8" s="21" t="n">
        <v>2020</v>
      </c>
      <c r="B8" s="22" t="n">
        <v>5962</v>
      </c>
      <c r="C8" s="22" t="n">
        <v>185</v>
      </c>
      <c r="D8" s="22" t="n">
        <v>148</v>
      </c>
      <c r="E8" s="22" t="n">
        <v>37</v>
      </c>
      <c r="F8" s="23" t="n">
        <v>1.25</v>
      </c>
      <c r="G8" s="24" t="n">
        <v>0.006206</v>
      </c>
      <c r="H8" s="22" t="n">
        <v>97</v>
      </c>
      <c r="I8" s="22" t="n">
        <v>36</v>
      </c>
      <c r="J8" s="22" t="n">
        <v>13</v>
      </c>
      <c r="K8" s="22" t="n">
        <v>12</v>
      </c>
      <c r="L8" s="30" t="inlineStr">
        <is>
          <t>Positive</t>
        </is>
      </c>
    </row>
    <row r="9" ht="20" customHeight="1">
      <c r="A9" s="26" t="n">
        <v>2021</v>
      </c>
      <c r="B9" s="27" t="n">
        <v>5076</v>
      </c>
      <c r="C9" s="27" t="n">
        <v>157</v>
      </c>
      <c r="D9" s="27" t="n">
        <v>124</v>
      </c>
      <c r="E9" s="27" t="n">
        <v>33</v>
      </c>
      <c r="F9" s="28" t="n">
        <v>1.2661</v>
      </c>
      <c r="G9" s="29" t="n">
        <v>0.006501</v>
      </c>
      <c r="H9" s="27" t="n">
        <v>72</v>
      </c>
      <c r="I9" s="27" t="n">
        <v>42</v>
      </c>
      <c r="J9" s="27" t="n">
        <v>10</v>
      </c>
      <c r="K9" s="27" t="n">
        <v>11</v>
      </c>
      <c r="L9" s="30" t="inlineStr">
        <is>
          <t>Positive</t>
        </is>
      </c>
    </row>
    <row r="10" ht="20" customHeight="1">
      <c r="A10" s="21" t="n">
        <v>2022</v>
      </c>
      <c r="B10" s="22" t="n">
        <v>5008</v>
      </c>
      <c r="C10" s="22" t="n">
        <v>161</v>
      </c>
      <c r="D10" s="22" t="n">
        <v>104</v>
      </c>
      <c r="E10" s="22" t="n">
        <v>57</v>
      </c>
      <c r="F10" s="23" t="n">
        <v>1.5481</v>
      </c>
      <c r="G10" s="24" t="n">
        <v>0.011382</v>
      </c>
      <c r="H10" s="22" t="n">
        <v>79</v>
      </c>
      <c r="I10" s="22" t="n">
        <v>40</v>
      </c>
      <c r="J10" s="22" t="n">
        <v>13</v>
      </c>
      <c r="K10" s="22" t="n">
        <v>10</v>
      </c>
      <c r="L10" s="25" t="inlineStr">
        <is>
          <t>Positive</t>
        </is>
      </c>
    </row>
    <row r="11" ht="20" customHeight="1">
      <c r="A11" s="26" t="n">
        <v>2023</v>
      </c>
      <c r="B11" s="27" t="n">
        <v>5073</v>
      </c>
      <c r="C11" s="27" t="n">
        <v>148</v>
      </c>
      <c r="D11" s="27" t="n">
        <v>159</v>
      </c>
      <c r="E11" s="27" t="n">
        <v>-11</v>
      </c>
      <c r="F11" s="28" t="n">
        <v>0.9308</v>
      </c>
      <c r="G11" s="29" t="n">
        <v>-0.002168</v>
      </c>
      <c r="H11" s="27" t="n">
        <v>77</v>
      </c>
      <c r="I11" s="27" t="n">
        <v>29</v>
      </c>
      <c r="J11" s="27" t="n">
        <v>11</v>
      </c>
      <c r="K11" s="27" t="n">
        <v>11</v>
      </c>
      <c r="L11" s="30" t="inlineStr">
        <is>
          <t>Cautious / Negative</t>
        </is>
      </c>
    </row>
    <row r="12" ht="20" customHeight="1">
      <c r="A12" s="21" t="n">
        <v>2024</v>
      </c>
      <c r="B12" s="22" t="n">
        <v>4667</v>
      </c>
      <c r="C12" s="22" t="n">
        <v>134</v>
      </c>
      <c r="D12" s="22" t="n">
        <v>126</v>
      </c>
      <c r="E12" s="22" t="n">
        <v>8</v>
      </c>
      <c r="F12" s="23" t="n">
        <v>1.0635</v>
      </c>
      <c r="G12" s="24" t="n">
        <v>0.001714</v>
      </c>
      <c r="H12" s="22" t="n">
        <v>70</v>
      </c>
      <c r="I12" s="22" t="n">
        <v>34</v>
      </c>
      <c r="J12" s="22" t="n">
        <v>12</v>
      </c>
      <c r="K12" s="22" t="n">
        <v>10</v>
      </c>
      <c r="L12" s="30" t="inlineStr">
        <is>
          <t>Positive</t>
        </is>
      </c>
    </row>
    <row r="13" ht="20" customHeight="1">
      <c r="A13" s="26" t="n">
        <v>2025</v>
      </c>
      <c r="B13" s="27" t="n">
        <v>4300</v>
      </c>
      <c r="C13" s="27" t="n">
        <v>133</v>
      </c>
      <c r="D13" s="27" t="n">
        <v>116</v>
      </c>
      <c r="E13" s="27" t="n">
        <v>17</v>
      </c>
      <c r="F13" s="28" t="n">
        <v>1.1466</v>
      </c>
      <c r="G13" s="29" t="n">
        <v>0.003953</v>
      </c>
      <c r="H13" s="27" t="n">
        <v>60</v>
      </c>
      <c r="I13" s="27" t="n">
        <v>31</v>
      </c>
      <c r="J13" s="27" t="n">
        <v>12</v>
      </c>
      <c r="K13" s="27" t="n">
        <v>11</v>
      </c>
      <c r="L13" s="30" t="inlineStr">
        <is>
          <t>Positive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18" customWidth="1" min="4" max="4"/>
    <col width="18" customWidth="1" min="5" max="5"/>
    <col width="18" customWidth="1" min="6" max="6"/>
    <col width="16" customWidth="1" min="7" max="7"/>
    <col width="16" customWidth="1" min="8" max="8"/>
  </cols>
  <sheetData>
    <row r="1">
      <c r="A1" s="1" t="inlineStr">
        <is>
          <t>MSFT — HISTORICAL BALANCE SHEET DATE STOCK PRICES</t>
        </is>
      </c>
    </row>
    <row r="2">
      <c r="A2" s="2" t="inlineStr">
        <is>
          <t>Closing stock prices retrieved on each fiscal balance sheet date (or closest prior trading day) — Source: Yahoo Finance</t>
        </is>
      </c>
    </row>
    <row r="3" ht="24" customHeight="1">
      <c r="A3" s="20" t="inlineStr">
        <is>
          <t>Fiscal Year</t>
        </is>
      </c>
      <c r="B3" s="20" t="inlineStr">
        <is>
          <t>Balance Sheet Date</t>
        </is>
      </c>
      <c r="C3" s="20" t="inlineStr">
        <is>
          <t>Actual Trading Date</t>
        </is>
      </c>
      <c r="D3" s="20" t="inlineStr">
        <is>
          <t>Closing Price ($)</t>
        </is>
      </c>
      <c r="E3" s="20" t="inlineStr">
        <is>
          <t>Adjusted Close ($)</t>
        </is>
      </c>
      <c r="F3" s="20" t="inlineStr">
        <is>
          <t>Trading Volume</t>
        </is>
      </c>
      <c r="G3" s="20" t="inlineStr">
        <is>
          <t>YoY Change ($)</t>
        </is>
      </c>
      <c r="H3" s="20" t="inlineStr">
        <is>
          <t>YoY % Return</t>
        </is>
      </c>
    </row>
    <row r="4" ht="20" customHeight="1">
      <c r="A4" s="21" t="n">
        <v>2016</v>
      </c>
      <c r="B4" s="21" t="inlineStr">
        <is>
          <t>2016-06-30</t>
        </is>
      </c>
      <c r="C4" s="21" t="inlineStr">
        <is>
          <t>2016-06-30</t>
        </is>
      </c>
      <c r="D4" s="31" t="n">
        <v>51.16999816894531</v>
      </c>
      <c r="E4" s="31" t="n">
        <v>45.15585327148438</v>
      </c>
      <c r="F4" s="22" t="n">
        <v>28527800</v>
      </c>
      <c r="G4" s="32" t="n"/>
      <c r="H4" s="24" t="n"/>
    </row>
    <row r="5" ht="20" customHeight="1">
      <c r="A5" s="26" t="n">
        <v>2017</v>
      </c>
      <c r="B5" s="26" t="inlineStr">
        <is>
          <t>2017-06-30</t>
        </is>
      </c>
      <c r="C5" s="26" t="inlineStr">
        <is>
          <t>2017-06-30</t>
        </is>
      </c>
      <c r="D5" s="33" t="n">
        <v>68.93000030517578</v>
      </c>
      <c r="E5" s="33" t="n">
        <v>62.35000610351562</v>
      </c>
      <c r="F5" s="27" t="n">
        <v>24161100</v>
      </c>
      <c r="G5" s="34" t="n">
        <v>17.76</v>
      </c>
      <c r="H5" s="35" t="n">
        <v>0.3471</v>
      </c>
    </row>
    <row r="6" ht="20" customHeight="1">
      <c r="A6" s="21" t="n">
        <v>2018</v>
      </c>
      <c r="B6" s="21" t="inlineStr">
        <is>
          <t>2018-06-30</t>
        </is>
      </c>
      <c r="C6" s="21" t="inlineStr">
        <is>
          <t>2018-06-29</t>
        </is>
      </c>
      <c r="D6" s="31" t="n">
        <v>98.61000061035156</v>
      </c>
      <c r="E6" s="31" t="n">
        <v>90.93816375732422</v>
      </c>
      <c r="F6" s="22" t="n">
        <v>28053200</v>
      </c>
      <c r="G6" s="32" t="n">
        <v>29.68</v>
      </c>
      <c r="H6" s="35" t="n">
        <v>0.4306</v>
      </c>
    </row>
    <row r="7" ht="20" customHeight="1">
      <c r="A7" s="26" t="n">
        <v>2019</v>
      </c>
      <c r="B7" s="26" t="inlineStr">
        <is>
          <t>2019-06-30</t>
        </is>
      </c>
      <c r="C7" s="26" t="inlineStr">
        <is>
          <t>2019-06-28</t>
        </is>
      </c>
      <c r="D7" s="33" t="n">
        <v>133.9600067138672</v>
      </c>
      <c r="E7" s="33" t="n">
        <v>125.5439682006836</v>
      </c>
      <c r="F7" s="27" t="n">
        <v>30043000</v>
      </c>
      <c r="G7" s="34" t="n">
        <v>35.35</v>
      </c>
      <c r="H7" s="35" t="n">
        <v>0.3585</v>
      </c>
    </row>
    <row r="8" ht="20" customHeight="1">
      <c r="A8" s="21" t="n">
        <v>2020</v>
      </c>
      <c r="B8" s="21" t="inlineStr">
        <is>
          <t>2020-06-30</t>
        </is>
      </c>
      <c r="C8" s="21" t="inlineStr">
        <is>
          <t>2020-06-30</t>
        </is>
      </c>
      <c r="D8" s="31" t="n">
        <v>203.5099945068359</v>
      </c>
      <c r="E8" s="31" t="n">
        <v>193.0714416503906</v>
      </c>
      <c r="F8" s="22" t="n">
        <v>34310300</v>
      </c>
      <c r="G8" s="32" t="n">
        <v>69.55</v>
      </c>
      <c r="H8" s="35" t="n">
        <v>0.5192</v>
      </c>
    </row>
    <row r="9" ht="20" customHeight="1">
      <c r="A9" s="26" t="n">
        <v>2021</v>
      </c>
      <c r="B9" s="26" t="inlineStr">
        <is>
          <t>2021-06-30</t>
        </is>
      </c>
      <c r="C9" s="26" t="inlineStr">
        <is>
          <t>2021-06-30</t>
        </is>
      </c>
      <c r="D9" s="33" t="n">
        <v>270.8999938964844</v>
      </c>
      <c r="E9" s="33" t="n">
        <v>259.4933776855469</v>
      </c>
      <c r="F9" s="27" t="n">
        <v>21656500</v>
      </c>
      <c r="G9" s="34" t="n">
        <v>67.39</v>
      </c>
      <c r="H9" s="35" t="n">
        <v>0.3311</v>
      </c>
    </row>
    <row r="10" ht="20" customHeight="1">
      <c r="A10" s="21" t="n">
        <v>2022</v>
      </c>
      <c r="B10" s="21" t="inlineStr">
        <is>
          <t>2022-06-30</t>
        </is>
      </c>
      <c r="C10" s="21" t="inlineStr">
        <is>
          <t>2022-06-30</t>
        </is>
      </c>
      <c r="D10" s="31" t="n">
        <v>256.8299865722656</v>
      </c>
      <c r="E10" s="31" t="n">
        <v>248.0246276855469</v>
      </c>
      <c r="F10" s="22" t="n">
        <v>31730900</v>
      </c>
      <c r="G10" s="32" t="n">
        <v>-14.07</v>
      </c>
      <c r="H10" s="36" t="n">
        <v>-0.0519</v>
      </c>
    </row>
    <row r="11" ht="20" customHeight="1">
      <c r="A11" s="26" t="n">
        <v>2023</v>
      </c>
      <c r="B11" s="26" t="inlineStr">
        <is>
          <t>2023-06-30</t>
        </is>
      </c>
      <c r="C11" s="26" t="inlineStr">
        <is>
          <t>2023-06-30</t>
        </is>
      </c>
      <c r="D11" s="33" t="n">
        <v>340.5400085449219</v>
      </c>
      <c r="E11" s="33" t="n">
        <v>332.0434875488281</v>
      </c>
      <c r="F11" s="27" t="n">
        <v>26832800</v>
      </c>
      <c r="G11" s="34" t="n">
        <v>83.70999999999999</v>
      </c>
      <c r="H11" s="35" t="n">
        <v>0.3259</v>
      </c>
    </row>
    <row r="12" ht="20" customHeight="1">
      <c r="A12" s="21" t="n">
        <v>2024</v>
      </c>
      <c r="B12" s="21" t="inlineStr">
        <is>
          <t>2024-06-30</t>
        </is>
      </c>
      <c r="C12" s="21" t="inlineStr">
        <is>
          <t>2024-06-28</t>
        </is>
      </c>
      <c r="D12" s="31" t="n">
        <v>446.9500122070312</v>
      </c>
      <c r="E12" s="31" t="n">
        <v>439.2077026367188</v>
      </c>
      <c r="F12" s="22" t="n">
        <v>28362300</v>
      </c>
      <c r="G12" s="32" t="n">
        <v>106.41</v>
      </c>
      <c r="H12" s="35" t="n">
        <v>0.3125</v>
      </c>
    </row>
    <row r="13" ht="20" customHeight="1">
      <c r="A13" s="26" t="n">
        <v>2025</v>
      </c>
      <c r="B13" s="26" t="inlineStr">
        <is>
          <t>2025-06-30</t>
        </is>
      </c>
      <c r="C13" s="26" t="inlineStr">
        <is>
          <t>2025-06-30</t>
        </is>
      </c>
      <c r="D13" s="33" t="n">
        <v>497.4100036621094</v>
      </c>
      <c r="E13" s="33" t="n">
        <v>492.5411376953125</v>
      </c>
      <c r="F13" s="27" t="n">
        <v>28369000</v>
      </c>
      <c r="G13" s="34" t="n">
        <v>50.46</v>
      </c>
      <c r="H13" s="35" t="n">
        <v>0.1129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2026-10-28T19:28:01Z</dcterms:created>
  <dcterms:modified xmlns:dcterms="http://purl.org/dc/terms/" xmlns:xsi="http://www.w3.org/2001/XMLSchema-instance" xsi:type="dcterms:W3CDTF">2026-10-29T17:50:57Z</dcterms:modified>
</cp:coreProperties>
</file>