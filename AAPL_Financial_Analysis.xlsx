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Ratio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s" sheetId="5" state="visible" r:id="rId5"/>
    <sheet xmlns:r="http://schemas.openxmlformats.org/officeDocument/2006/relationships" name="Sentiment Analysis" sheetId="6" state="visible" r:id="rId6"/>
    <sheet xmlns:r="http://schemas.openxmlformats.org/officeDocument/2006/relationships" name="Stock Pri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&quot;-&quot;"/>
    <numFmt numFmtId="165" formatCode="$#,##0.00;($#,##0.00);&quot;-&quot;"/>
    <numFmt numFmtId="166" formatCode="#,##0;(#,##0);&quot;-&quot;"/>
    <numFmt numFmtId="167" formatCode="+0.00%;-0.00%;0.00%"/>
    <numFmt numFmtId="168" formatCode="+$#,##0.00;-$#,##0.00;&quot;$0.00&quot;"/>
    <numFmt numFmtId="169" formatCode="$#,##0.00"/>
    <numFmt numFmtId="170" formatCode="0.00&quot;x&quot;"/>
    <numFmt numFmtId="171" formatCode="0.0&quot; d&quot;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276A3C"/>
      <sz val="10"/>
    </font>
    <font>
      <name val="Calibri"/>
      <b val="1"/>
      <color rgb="00C00000"/>
      <sz val="10"/>
    </font>
    <font>
      <name val="Calibr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9FBFD"/>
        <bgColor rgb="00F9FBFD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top style="thin">
        <color rgb="001F4E79"/>
      </top>
      <bottom style="medium">
        <color rgb="00000000"/>
      </bottom>
    </border>
    <border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0" pivotButton="0" quotePrefix="0" xfId="0"/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164" fontId="5" fillId="4" borderId="3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164" fontId="5" fillId="0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/>
    </xf>
    <xf numFmtId="166" fontId="6" fillId="4" borderId="2" applyAlignment="1" pivotButton="0" quotePrefix="0" xfId="0">
      <alignment horizontal="right"/>
    </xf>
    <xf numFmtId="2" fontId="6" fillId="4" borderId="2" applyAlignment="1" pivotButton="0" quotePrefix="0" xfId="0">
      <alignment horizontal="right"/>
    </xf>
    <xf numFmtId="167" fontId="6" fillId="4" borderId="2" applyAlignment="1" pivotButton="0" quotePrefix="0" xfId="0">
      <alignment horizontal="right"/>
    </xf>
    <xf numFmtId="0" fontId="7" fillId="5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166" fontId="6" fillId="0" borderId="2" applyAlignment="1" pivotButton="0" quotePrefix="0" xfId="0">
      <alignment horizontal="right"/>
    </xf>
    <xf numFmtId="2" fontId="6" fillId="0" borderId="2" applyAlignment="1" pivotButton="0" quotePrefix="0" xfId="0">
      <alignment horizontal="right"/>
    </xf>
    <xf numFmtId="167" fontId="6" fillId="0" borderId="2" applyAlignment="1" pivotButton="0" quotePrefix="0" xfId="0">
      <alignment horizontal="right"/>
    </xf>
    <xf numFmtId="0" fontId="8" fillId="6" borderId="2" applyAlignment="1" pivotButton="0" quotePrefix="0" xfId="0">
      <alignment horizontal="center"/>
    </xf>
    <xf numFmtId="165" fontId="6" fillId="4" borderId="2" applyAlignment="1" pivotButton="0" quotePrefix="0" xfId="0">
      <alignment horizontal="right"/>
    </xf>
    <xf numFmtId="168" fontId="6" fillId="4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168" fontId="6" fillId="0" borderId="2" applyAlignment="1" pivotButton="0" quotePrefix="0" xfId="0">
      <alignment horizontal="right"/>
    </xf>
    <xf numFmtId="167" fontId="8" fillId="6" borderId="2" applyAlignment="1" pivotButton="0" quotePrefix="0" xfId="0">
      <alignment horizontal="right"/>
    </xf>
    <xf numFmtId="167" fontId="7" fillId="5" borderId="2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169" fontId="6" fillId="4" borderId="2" applyAlignment="1" pivotButton="0" quotePrefix="0" xfId="0">
      <alignment horizontal="right"/>
    </xf>
    <xf numFmtId="10" fontId="6" fillId="4" borderId="2" applyAlignment="1" pivotButton="0" quotePrefix="0" xfId="0">
      <alignment horizontal="right"/>
    </xf>
    <xf numFmtId="170" fontId="6" fillId="4" borderId="2" applyAlignment="1" pivotButton="0" quotePrefix="0" xfId="0">
      <alignment horizontal="right"/>
    </xf>
    <xf numFmtId="169" fontId="6" fillId="0" borderId="2" applyAlignment="1" pivotButton="0" quotePrefix="0" xfId="0">
      <alignment horizontal="right"/>
    </xf>
    <xf numFmtId="10" fontId="6" fillId="0" borderId="2" applyAlignment="1" pivotButton="0" quotePrefix="0" xfId="0">
      <alignment horizontal="right"/>
    </xf>
    <xf numFmtId="170" fontId="6" fillId="0" borderId="2" applyAlignment="1" pivotButton="0" quotePrefix="0" xfId="0">
      <alignment horizontal="right"/>
    </xf>
    <xf numFmtId="167" fontId="9" fillId="7" borderId="2" applyAlignment="1" pivotButton="0" quotePrefix="0" xfId="0">
      <alignment horizontal="right"/>
    </xf>
    <xf numFmtId="167" fontId="10" fillId="8" borderId="2" applyAlignment="1" pivotButton="0" quotePrefix="0" xfId="0">
      <alignment horizontal="right"/>
    </xf>
    <xf numFmtId="0" fontId="9" fillId="7" borderId="2" applyAlignment="1" pivotButton="0" quotePrefix="0" xfId="0">
      <alignment horizontal="center"/>
    </xf>
    <xf numFmtId="0" fontId="11" fillId="0" borderId="0" pivotButton="0" quotePrefix="0" xfId="0"/>
    <xf numFmtId="0" fontId="5" fillId="0" borderId="2" pivotButton="0" quotePrefix="0" xfId="0"/>
    <xf numFmtId="0" fontId="4" fillId="0" borderId="2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pivotButton="0" quotePrefix="0" xfId="0"/>
    <xf numFmtId="171" fontId="6" fillId="0" borderId="2" applyAlignment="1" pivotButton="0" quotePrefix="0" xfId="0">
      <alignment horizontal="right"/>
    </xf>
    <xf numFmtId="169" fontId="6" fillId="4" borderId="2" applyAlignment="1" pivotButton="0" quotePrefix="0" xfId="0">
      <alignment horizontal="right"/>
    </xf>
    <xf numFmtId="170" fontId="6" fillId="4" borderId="2" applyAlignment="1" pivotButton="0" quotePrefix="0" xfId="0">
      <alignment horizontal="right"/>
    </xf>
    <xf numFmtId="169" fontId="6" fillId="0" borderId="2" applyAlignment="1" pivotButton="0" quotePrefix="0" xfId="0">
      <alignment horizontal="right"/>
    </xf>
    <xf numFmtId="170" fontId="6" fillId="0" borderId="2" applyAlignment="1" pivotButton="0" quotePrefix="0" xfId="0">
      <alignment horizontal="right"/>
    </xf>
    <xf numFmtId="171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AAPL Stock Price vs. MD&amp;A Sentiment (P/N Ratio)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Summary'!B3</f>
            </strRef>
          </tx>
          <spPr>
            <a:ln xmlns:a="http://schemas.openxmlformats.org/drawingml/2006/main" w="26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Summary'!$A$4:$A$13</f>
            </numRef>
          </cat>
          <val>
            <numRef>
              <f>'Executive Summary'!$B$4:$B$13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'Executive Summary'!D3</f>
            </strRef>
          </tx>
          <spPr>
            <a:ln xmlns:a="http://schemas.openxmlformats.org/drawingml/2006/main" w="26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'Executive Summary'!$D$4:$D$13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Closing Stock Price ($)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MD&amp;A Sentiment (P/N Ratio)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14" customWidth="1" min="5" max="5"/>
    <col width="16" customWidth="1" min="6" max="6"/>
    <col width="16" customWidth="1" min="7" max="7"/>
    <col width="18" customWidth="1" min="8" max="8"/>
    <col width="22" customWidth="1" min="9" max="9"/>
    <col width="15" customWidth="1" min="10" max="10"/>
    <col width="16" customWidth="1" min="11" max="11"/>
  </cols>
  <sheetData>
    <row r="1">
      <c r="A1" s="1" t="inlineStr">
        <is>
          <t>AAPL — 10-YEAR EXECUTIVE SUMMARY &amp; SENTIMENT DASHBOARD</t>
        </is>
      </c>
    </row>
    <row r="2">
      <c r="A2" s="2" t="inlineStr">
        <is>
          <t>Integrated Performance: Audited Financials, Stock Price Returns, and MD&amp;A Sentiment P/N Trend</t>
        </is>
      </c>
    </row>
    <row r="3" ht="26" customHeight="1">
      <c r="A3" s="37" t="inlineStr">
        <is>
          <t>Fiscal Year</t>
        </is>
      </c>
      <c r="B3" s="37" t="inlineStr">
        <is>
          <t>Stock Price ($)</t>
        </is>
      </c>
      <c r="C3" s="37" t="inlineStr">
        <is>
          <t>YoY Return</t>
        </is>
      </c>
      <c r="D3" s="37" t="inlineStr">
        <is>
          <t>MD&amp;A Sentiment P/N</t>
        </is>
      </c>
      <c r="E3" s="37" t="inlineStr">
        <is>
          <t>MD&amp;A Tone</t>
        </is>
      </c>
      <c r="F3" s="37" t="inlineStr">
        <is>
          <t>Revenue ($B)</t>
        </is>
      </c>
      <c r="G3" s="37" t="inlineStr">
        <is>
          <t>Net Income ($B)</t>
        </is>
      </c>
      <c r="H3" s="37" t="inlineStr">
        <is>
          <t>Operating Margin</t>
        </is>
      </c>
      <c r="I3" s="37" t="inlineStr">
        <is>
          <t>Return on Equity (ROE)</t>
        </is>
      </c>
      <c r="J3" s="37" t="inlineStr">
        <is>
          <t>Current Ratio</t>
        </is>
      </c>
      <c r="K3" s="37" t="inlineStr">
        <is>
          <t>Debt-to-Equity</t>
        </is>
      </c>
    </row>
    <row r="4" ht="20" customHeight="1">
      <c r="A4" s="21" t="n">
        <v>2016</v>
      </c>
      <c r="B4" s="54" t="n">
        <v>28.17749977111816</v>
      </c>
      <c r="C4" s="24" t="n"/>
      <c r="D4" s="23" t="n">
        <v>0.75</v>
      </c>
      <c r="E4" s="21" t="inlineStr">
        <is>
          <t>Cautious / Negative</t>
        </is>
      </c>
      <c r="F4" s="54" t="n">
        <v>215.639</v>
      </c>
      <c r="G4" s="54" t="n">
        <v>45.687</v>
      </c>
      <c r="H4" s="39" t="n">
        <v>0.2783541010670612</v>
      </c>
      <c r="I4" s="39" t="n">
        <v>0.3562366958026963</v>
      </c>
      <c r="J4" s="55" t="n">
        <v>1.352669417512594</v>
      </c>
      <c r="K4" s="55" t="n">
        <v>0.6786173771335449</v>
      </c>
    </row>
    <row r="5" ht="20" customHeight="1">
      <c r="A5" s="26" t="n">
        <v>2017</v>
      </c>
      <c r="B5" s="56" t="n">
        <v>38.52999877929688</v>
      </c>
      <c r="C5" s="44" t="n">
        <v>0.3673</v>
      </c>
      <c r="D5" s="28" t="n">
        <v>0.6704</v>
      </c>
      <c r="E5" s="26" t="inlineStr">
        <is>
          <t>Cautious / Negative</t>
        </is>
      </c>
      <c r="F5" s="56" t="n">
        <v>229.234</v>
      </c>
      <c r="G5" s="56" t="n">
        <v>48.351</v>
      </c>
      <c r="H5" s="42" t="n">
        <v>0.2676042820872994</v>
      </c>
      <c r="I5" s="42" t="n">
        <v>0.3607018433832909</v>
      </c>
      <c r="J5" s="57" t="n">
        <v>1.276062848413911</v>
      </c>
      <c r="K5" s="57" t="n">
        <v>0.8988414511328117</v>
      </c>
    </row>
    <row r="6" ht="20" customHeight="1">
      <c r="A6" s="21" t="n">
        <v>2018</v>
      </c>
      <c r="B6" s="54" t="n">
        <v>56.43500137329102</v>
      </c>
      <c r="C6" s="44" t="n">
        <v>0.4648</v>
      </c>
      <c r="D6" s="23" t="n">
        <v>0.8944</v>
      </c>
      <c r="E6" s="21" t="inlineStr">
        <is>
          <t>Cautious / Negative</t>
        </is>
      </c>
      <c r="F6" s="54" t="n">
        <v>265.595</v>
      </c>
      <c r="G6" s="54" t="n">
        <v>59.531</v>
      </c>
      <c r="H6" s="39" t="n">
        <v>0.2669402661947702</v>
      </c>
      <c r="I6" s="39" t="n">
        <v>0.5556011834209077</v>
      </c>
      <c r="J6" s="55" t="n">
        <v>1.12384269162973</v>
      </c>
      <c r="K6" s="55" t="n">
        <v>1.077211681148329</v>
      </c>
    </row>
    <row r="7" ht="20" customHeight="1">
      <c r="A7" s="26" t="n">
        <v>2019</v>
      </c>
      <c r="B7" s="56" t="n">
        <v>54.70500183105469</v>
      </c>
      <c r="C7" s="45" t="n">
        <v>-0.0307</v>
      </c>
      <c r="D7" s="28" t="n">
        <v>0.6196</v>
      </c>
      <c r="E7" s="26" t="inlineStr">
        <is>
          <t>Cautious / Negative</t>
        </is>
      </c>
      <c r="F7" s="56" t="n">
        <v>260.174</v>
      </c>
      <c r="G7" s="56" t="n">
        <v>55.256</v>
      </c>
      <c r="H7" s="42" t="n">
        <v>0.2457201718849693</v>
      </c>
      <c r="I7" s="42" t="n">
        <v>0.6106445053487756</v>
      </c>
      <c r="J7" s="57" t="n">
        <v>1.540125617208044</v>
      </c>
      <c r="K7" s="57" t="n">
        <v>1.194047829546459</v>
      </c>
    </row>
    <row r="8" ht="20" customHeight="1">
      <c r="A8" s="21" t="n">
        <v>2020</v>
      </c>
      <c r="B8" s="54" t="n">
        <v>112.2799987792969</v>
      </c>
      <c r="C8" s="44" t="n">
        <v>1.0524</v>
      </c>
      <c r="D8" s="23" t="n">
        <v>0.5312</v>
      </c>
      <c r="E8" s="21" t="inlineStr">
        <is>
          <t>Cautious / Negative</t>
        </is>
      </c>
      <c r="F8" s="54" t="n">
        <v>274.515</v>
      </c>
      <c r="G8" s="54" t="n">
        <v>57.411</v>
      </c>
      <c r="H8" s="39" t="n">
        <v>0.2414731435440686</v>
      </c>
      <c r="I8" s="39" t="n">
        <v>0.8786635853012749</v>
      </c>
      <c r="J8" s="55" t="n">
        <v>1.363604448155458</v>
      </c>
      <c r="K8" s="55" t="n">
        <v>1.78469214404873</v>
      </c>
    </row>
    <row r="9" ht="20" customHeight="1">
      <c r="A9" s="26" t="n">
        <v>2021</v>
      </c>
      <c r="B9" s="56" t="n">
        <v>146.9199981689453</v>
      </c>
      <c r="C9" s="44" t="n">
        <v>0.3085</v>
      </c>
      <c r="D9" s="28" t="n">
        <v>1.5806</v>
      </c>
      <c r="E9" s="46" t="inlineStr">
        <is>
          <t>Positive</t>
        </is>
      </c>
      <c r="F9" s="56" t="n">
        <v>365.817</v>
      </c>
      <c r="G9" s="56" t="n">
        <v>94.68000000000001</v>
      </c>
      <c r="H9" s="42" t="n">
        <v>0.2978237752756159</v>
      </c>
      <c r="I9" s="42" t="n">
        <v>1.500713266761769</v>
      </c>
      <c r="J9" s="57" t="n">
        <v>1.074553119595795</v>
      </c>
      <c r="K9" s="57" t="n">
        <v>1.976842605801236</v>
      </c>
    </row>
    <row r="10" ht="20" customHeight="1">
      <c r="A10" s="21" t="n">
        <v>2022</v>
      </c>
      <c r="B10" s="54" t="n">
        <v>150.4299926757812</v>
      </c>
      <c r="C10" s="44" t="n">
        <v>0.0239</v>
      </c>
      <c r="D10" s="23" t="n">
        <v>0.907</v>
      </c>
      <c r="E10" s="21" t="inlineStr">
        <is>
          <t>Cautious / Negative</t>
        </is>
      </c>
      <c r="F10" s="54" t="n">
        <v>394.328</v>
      </c>
      <c r="G10" s="54" t="n">
        <v>99.803</v>
      </c>
      <c r="H10" s="39" t="n">
        <v>0.3028874439552859</v>
      </c>
      <c r="I10" s="39" t="n">
        <v>1.969588727502368</v>
      </c>
      <c r="J10" s="55" t="n">
        <v>0.8793560286267226</v>
      </c>
      <c r="K10" s="55" t="n">
        <v>2.369533470161036</v>
      </c>
    </row>
    <row r="11" ht="20" customHeight="1">
      <c r="A11" s="26" t="n">
        <v>2023</v>
      </c>
      <c r="B11" s="56" t="n">
        <v>171.2100067138672</v>
      </c>
      <c r="C11" s="44" t="n">
        <v>0.1381</v>
      </c>
      <c r="D11" s="28" t="n">
        <v>0.5217000000000001</v>
      </c>
      <c r="E11" s="26" t="inlineStr">
        <is>
          <t>Cautious / Negative</t>
        </is>
      </c>
      <c r="F11" s="56" t="n">
        <v>383.285</v>
      </c>
      <c r="G11" s="56" t="n">
        <v>96.995</v>
      </c>
      <c r="H11" s="42" t="n">
        <v>0.2982141226502472</v>
      </c>
      <c r="I11" s="42" t="n">
        <v>1.560760145463908</v>
      </c>
      <c r="J11" s="57" t="n">
        <v>0.9880116717592975</v>
      </c>
      <c r="K11" s="57" t="n">
        <v>1.787532584558942</v>
      </c>
    </row>
    <row r="12" ht="20" customHeight="1">
      <c r="A12" s="21" t="n">
        <v>2024</v>
      </c>
      <c r="B12" s="54" t="n">
        <v>227.7899932861328</v>
      </c>
      <c r="C12" s="44" t="n">
        <v>0.3305</v>
      </c>
      <c r="D12" s="23" t="n">
        <v>0.7647</v>
      </c>
      <c r="E12" s="21" t="inlineStr">
        <is>
          <t>Cautious / Negative</t>
        </is>
      </c>
      <c r="F12" s="54" t="n">
        <v>391.035</v>
      </c>
      <c r="G12" s="54" t="n">
        <v>93.736</v>
      </c>
      <c r="H12" s="39" t="n">
        <v>0.3151022287007557</v>
      </c>
      <c r="I12" s="39" t="n">
        <v>1.64593503072871</v>
      </c>
      <c r="J12" s="55" t="n">
        <v>0.8673125765340832</v>
      </c>
      <c r="K12" s="55" t="n">
        <v>1.855768217734855</v>
      </c>
    </row>
    <row r="13" ht="20" customHeight="1">
      <c r="A13" s="26" t="n">
        <v>2025</v>
      </c>
      <c r="B13" s="56" t="n">
        <v>255.4600067138672</v>
      </c>
      <c r="C13" s="44" t="n">
        <v>0.1215</v>
      </c>
      <c r="D13" s="28" t="n">
        <v>0.8649</v>
      </c>
      <c r="E13" s="26" t="inlineStr">
        <is>
          <t>Cautious / Negative</t>
        </is>
      </c>
      <c r="F13" s="56" t="n">
        <v>416.161</v>
      </c>
      <c r="G13" s="56" t="n">
        <v>112.01</v>
      </c>
      <c r="H13" s="42" t="n">
        <v>0.3197079976259188</v>
      </c>
      <c r="I13" s="42" t="n">
        <v>1.519129833317511</v>
      </c>
      <c r="J13" s="57" t="n">
        <v>0.8932929222186667</v>
      </c>
      <c r="K13" s="57" t="n">
        <v>1.229815686327696</v>
      </c>
    </row>
    <row r="16">
      <c r="A16" s="47" t="inlineStr">
        <is>
          <t>10-YEAR EXECUTIVE HIGHLIGHTS &amp; PERFORMANCE CORRELATION</t>
        </is>
      </c>
    </row>
    <row r="17" ht="20" customHeight="1">
      <c r="A17" s="48" t="inlineStr">
        <is>
          <t>Initial Stock Price</t>
        </is>
      </c>
      <c r="B17" s="49" t="inlineStr">
        <is>
          <t>$28.18</t>
        </is>
      </c>
    </row>
    <row r="18" ht="20" customHeight="1">
      <c r="A18" s="48" t="inlineStr">
        <is>
          <t>Ending Stock Price</t>
        </is>
      </c>
      <c r="B18" s="49" t="inlineStr">
        <is>
          <t>$255.46</t>
        </is>
      </c>
    </row>
    <row r="19" ht="20" customHeight="1">
      <c r="A19" s="48" t="inlineStr">
        <is>
          <t>10-Year Cumulative Stock Return</t>
        </is>
      </c>
      <c r="B19" s="49" t="inlineStr">
        <is>
          <t>+806.61%</t>
        </is>
      </c>
    </row>
    <row r="20" ht="20" customHeight="1">
      <c r="A20" s="48" t="inlineStr">
        <is>
          <t>Compound Annual Growth Rate (CAGR)</t>
        </is>
      </c>
      <c r="B20" s="49" t="inlineStr">
        <is>
          <t>+27.76%</t>
        </is>
      </c>
    </row>
    <row r="21" ht="20" customHeight="1">
      <c r="A21" s="48" t="inlineStr">
        <is>
          <t>10-Year Average MD&amp;A Sentiment P/N</t>
        </is>
      </c>
      <c r="B21" s="49" t="inlineStr">
        <is>
          <t>0.81x</t>
        </is>
      </c>
    </row>
    <row r="22" ht="20" customHeight="1">
      <c r="A22" s="48" t="inlineStr">
        <is>
          <t>Correlation: Price Returns vs. MD&amp;A Sentiment (r)</t>
        </is>
      </c>
      <c r="B22" s="49" t="inlineStr">
        <is>
          <t>-0.15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AAPL — 10-YEAR HISTORICAL FINANCIAL RATIOS</t>
        </is>
      </c>
    </row>
    <row r="2">
      <c r="A2" s="2" t="inlineStr">
        <is>
          <t>Audited 10-K Ratios: Liquidity, Solvency, Efficiency &amp; Profitability — Side-by-Side 10-Year Analysis</t>
        </is>
      </c>
    </row>
    <row r="3" ht="24" customHeight="1">
      <c r="A3" s="50" t="inlineStr">
        <is>
          <t>Ratio Category / Metric</t>
        </is>
      </c>
      <c r="B3" s="50" t="inlineStr">
        <is>
          <t>Formula / Definition</t>
        </is>
      </c>
      <c r="C3" s="37" t="n">
        <v>2016</v>
      </c>
      <c r="D3" s="37" t="n">
        <v>2017</v>
      </c>
      <c r="E3" s="37" t="n">
        <v>2018</v>
      </c>
      <c r="F3" s="37" t="n">
        <v>2019</v>
      </c>
      <c r="G3" s="37" t="n">
        <v>2020</v>
      </c>
      <c r="H3" s="37" t="n">
        <v>2021</v>
      </c>
      <c r="I3" s="37" t="n">
        <v>2022</v>
      </c>
      <c r="J3" s="37" t="n">
        <v>2023</v>
      </c>
      <c r="K3" s="37" t="n">
        <v>2024</v>
      </c>
      <c r="L3" s="37" t="n">
        <v>2025</v>
      </c>
    </row>
    <row r="4" ht="20" customHeight="1">
      <c r="A4" s="5" t="inlineStr">
        <is>
          <t>LIQUIDITY RATIOS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20" customHeight="1">
      <c r="A5" s="52" t="inlineStr">
        <is>
          <t xml:space="preserve">    Current Ratio</t>
        </is>
      </c>
      <c r="B5" s="2" t="inlineStr">
        <is>
          <t>Total Current Assets / Total Current Liabilities</t>
        </is>
      </c>
      <c r="C5" s="57" t="n">
        <v>1.352669417512594</v>
      </c>
      <c r="D5" s="57" t="n">
        <v>1.276062848413911</v>
      </c>
      <c r="E5" s="57" t="n">
        <v>1.12384269162973</v>
      </c>
      <c r="F5" s="57" t="n">
        <v>1.540125617208044</v>
      </c>
      <c r="G5" s="57" t="n">
        <v>1.363604448155458</v>
      </c>
      <c r="H5" s="57" t="n">
        <v>1.074553119595795</v>
      </c>
      <c r="I5" s="57" t="n">
        <v>0.8793560286267226</v>
      </c>
      <c r="J5" s="57" t="n">
        <v>0.9880116717592975</v>
      </c>
      <c r="K5" s="57" t="n">
        <v>0.8673125765340832</v>
      </c>
      <c r="L5" s="57" t="n">
        <v>0.8932929222186667</v>
      </c>
    </row>
    <row r="6" ht="20" customHeight="1">
      <c r="A6" s="52" t="inlineStr">
        <is>
          <t xml:space="preserve">    Quick Ratio (Acid-Test)</t>
        </is>
      </c>
      <c r="B6" s="2" t="inlineStr">
        <is>
          <t>(Cash + Mkt Securities + Accounts Rec) / Current Liab</t>
        </is>
      </c>
      <c r="C6" s="55" t="n">
        <v>1.049401311292813</v>
      </c>
      <c r="D6" s="55" t="n">
        <v>0.9131172257821334</v>
      </c>
      <c r="E6" s="55" t="n">
        <v>0.765723135899235</v>
      </c>
      <c r="F6" s="55" t="n">
        <v>1.168041393140241</v>
      </c>
      <c r="G6" s="55" t="n">
        <v>1.01585509336572</v>
      </c>
      <c r="H6" s="55" t="n">
        <v>0.7086092715231788</v>
      </c>
      <c r="I6" s="55" t="n">
        <v>0.4967333844215558</v>
      </c>
      <c r="J6" s="55" t="n">
        <v>0.6266895146860462</v>
      </c>
      <c r="K6" s="55" t="n">
        <v>0.5588745521338836</v>
      </c>
      <c r="L6" s="55" t="n">
        <v>0.5703883934770665</v>
      </c>
    </row>
    <row r="7" ht="20" customHeight="1">
      <c r="A7" s="52" t="inlineStr">
        <is>
          <t xml:space="preserve">    Cash Ratio</t>
        </is>
      </c>
      <c r="B7" s="2" t="inlineStr">
        <is>
          <t>(Cash &amp; Cash Equiv + Mkt Securities) / Current Liab</t>
        </is>
      </c>
      <c r="C7" s="57" t="n">
        <v>0.8499987342733464</v>
      </c>
      <c r="D7" s="57" t="n">
        <v>0.7358204217668181</v>
      </c>
      <c r="E7" s="57" t="n">
        <v>0.5673249704790101</v>
      </c>
      <c r="F7" s="57" t="n">
        <v>0.9511814449762576</v>
      </c>
      <c r="G7" s="57" t="n">
        <v>0.8629023075755275</v>
      </c>
      <c r="H7" s="57" t="n">
        <v>0.4991911125987201</v>
      </c>
      <c r="I7" s="57" t="n">
        <v>0.3136990037796625</v>
      </c>
      <c r="J7" s="57" t="n">
        <v>0.4236174195501968</v>
      </c>
      <c r="K7" s="57" t="n">
        <v>0.3694668692457708</v>
      </c>
      <c r="L7" s="57" t="n">
        <v>0.3302340745391865</v>
      </c>
    </row>
    <row r="8" ht="20" customHeight="1">
      <c r="A8" s="52" t="inlineStr">
        <is>
          <t xml:space="preserve">    Operating Cash Flow Ratio</t>
        </is>
      </c>
      <c r="B8" s="2" t="inlineStr">
        <is>
          <t>Cash Flow from Operations / Current Liabilities</t>
        </is>
      </c>
      <c r="C8" s="55" t="n">
        <v>0.8331519125129737</v>
      </c>
      <c r="D8" s="55" t="n">
        <v>0.6308449223322158</v>
      </c>
      <c r="E8" s="55" t="n">
        <v>0.662587921208906</v>
      </c>
      <c r="F8" s="55" t="n">
        <v>0.6563782894114532</v>
      </c>
      <c r="G8" s="55" t="n">
        <v>0.7654660695308941</v>
      </c>
      <c r="H8" s="55" t="n">
        <v>0.8291135709788733</v>
      </c>
      <c r="I8" s="55" t="n">
        <v>0.7932810328479952</v>
      </c>
      <c r="J8" s="55" t="n">
        <v>0.7607495802020535</v>
      </c>
      <c r="K8" s="55" t="n">
        <v>0.6704385686425688</v>
      </c>
      <c r="L8" s="55" t="n">
        <v>0.6730744848488508</v>
      </c>
    </row>
    <row r="9" ht="20" customHeight="1">
      <c r="A9" s="5" t="inlineStr">
        <is>
          <t>SOLVENCY RATIOS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 ht="20" customHeight="1">
      <c r="A10" s="52" t="inlineStr">
        <is>
          <t xml:space="preserve">    Debt-to-Equity Ratio</t>
        </is>
      </c>
      <c r="B10" s="2" t="inlineStr">
        <is>
          <t>Total Debt (Short + Long-Term) / Stockholders' Equity</t>
        </is>
      </c>
      <c r="C10" s="55" t="n">
        <v>0.6786173771335449</v>
      </c>
      <c r="D10" s="55" t="n">
        <v>0.8988414511328117</v>
      </c>
      <c r="E10" s="55" t="n">
        <v>1.077211681148329</v>
      </c>
      <c r="F10" s="55" t="n">
        <v>1.194047829546459</v>
      </c>
      <c r="G10" s="55" t="n">
        <v>1.78469214404873</v>
      </c>
      <c r="H10" s="55" t="n">
        <v>1.976842605801236</v>
      </c>
      <c r="I10" s="55" t="n">
        <v>2.369533470161036</v>
      </c>
      <c r="J10" s="55" t="n">
        <v>1.787532584558942</v>
      </c>
      <c r="K10" s="55" t="n">
        <v>1.855768217734855</v>
      </c>
      <c r="L10" s="55" t="n">
        <v>1.229815686327696</v>
      </c>
    </row>
    <row r="11" ht="20" customHeight="1">
      <c r="A11" s="52" t="inlineStr">
        <is>
          <t xml:space="preserve">    Debt-to-Assets Ratio</t>
        </is>
      </c>
      <c r="B11" s="2" t="inlineStr">
        <is>
          <t>Total Debt / Total Assets</t>
        </is>
      </c>
      <c r="C11" s="57" t="n">
        <v>0.2705495421000603</v>
      </c>
      <c r="D11" s="57" t="n">
        <v>0.3210255809058428</v>
      </c>
      <c r="E11" s="57" t="n">
        <v>0.3155923166313487</v>
      </c>
      <c r="F11" s="57" t="n">
        <v>0.3191784140188352</v>
      </c>
      <c r="G11" s="57" t="n">
        <v>0.3600318628661759</v>
      </c>
      <c r="H11" s="57" t="n">
        <v>0.3553227616936656</v>
      </c>
      <c r="I11" s="57" t="n">
        <v>0.3403750478377344</v>
      </c>
      <c r="J11" s="57" t="n">
        <v>0.3150690759338936</v>
      </c>
      <c r="K11" s="57" t="n">
        <v>0.2895665515918681</v>
      </c>
      <c r="L11" s="57" t="n">
        <v>0.2524155093655791</v>
      </c>
    </row>
    <row r="12" ht="20" customHeight="1">
      <c r="A12" s="52" t="inlineStr">
        <is>
          <t xml:space="preserve">    Financial Leverage (Equity Multiplier)</t>
        </is>
      </c>
      <c r="B12" s="2" t="inlineStr">
        <is>
          <t>Total Assets / Total Stockholders' Equity</t>
        </is>
      </c>
      <c r="C12" s="55" t="n">
        <v>2.508292462319394</v>
      </c>
      <c r="D12" s="55" t="n">
        <v>2.799906003118309</v>
      </c>
      <c r="E12" s="55" t="n">
        <v>3.413301352347709</v>
      </c>
      <c r="F12" s="55" t="n">
        <v>3.74100433206613</v>
      </c>
      <c r="G12" s="55" t="n">
        <v>4.957039440456695</v>
      </c>
      <c r="H12" s="55" t="n">
        <v>5.563512442542399</v>
      </c>
      <c r="I12" s="55" t="n">
        <v>6.961536943479634</v>
      </c>
      <c r="J12" s="55" t="n">
        <v>5.673462491552152</v>
      </c>
      <c r="K12" s="55" t="n">
        <v>6.408779631255487</v>
      </c>
      <c r="L12" s="55" t="n">
        <v>4.872187487285204</v>
      </c>
    </row>
    <row r="13" ht="20" customHeight="1">
      <c r="A13" s="52" t="inlineStr">
        <is>
          <t xml:space="preserve">    Interest Coverage Ratio</t>
        </is>
      </c>
      <c r="B13" s="2" t="inlineStr">
        <is>
          <t>Operating Income (EBIT) / Interest Expense</t>
        </is>
      </c>
      <c r="C13" s="57" t="n">
        <v>41.22527472527472</v>
      </c>
      <c r="D13" s="57" t="n">
        <v>26.40723202755058</v>
      </c>
      <c r="E13" s="57" t="n">
        <v>21.8820987654321</v>
      </c>
      <c r="F13" s="57" t="n">
        <v>17.87751677852349</v>
      </c>
      <c r="G13" s="57" t="n">
        <v>23.07274625826662</v>
      </c>
      <c r="H13" s="57" t="n">
        <v>41.19054820415879</v>
      </c>
      <c r="I13" s="57" t="n">
        <v>40.74957352439441</v>
      </c>
      <c r="J13" s="57" t="n">
        <v>29.06203915586067</v>
      </c>
      <c r="K13" s="57" t="n">
        <v>31.19392405063291</v>
      </c>
      <c r="L13" s="57" t="n">
        <v>34.82984293193717</v>
      </c>
    </row>
    <row r="14" ht="20" customHeight="1">
      <c r="A14" s="5" t="inlineStr">
        <is>
          <t>EFFICIENCY RATIOS</t>
        </is>
      </c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 ht="20" customHeight="1">
      <c r="A15" s="52" t="inlineStr">
        <is>
          <t xml:space="preserve">    Asset Turnover Ratio</t>
        </is>
      </c>
      <c r="B15" s="2" t="inlineStr">
        <is>
          <t>Total Revenues / Total Assets</t>
        </is>
      </c>
      <c r="C15" s="57" t="n">
        <v>0.670340021014281</v>
      </c>
      <c r="D15" s="57" t="n">
        <v>0.6107711040474902</v>
      </c>
      <c r="E15" s="57" t="n">
        <v>0.7262150522933899</v>
      </c>
      <c r="F15" s="57" t="n">
        <v>0.7685722388306608</v>
      </c>
      <c r="G15" s="57" t="n">
        <v>0.8475615027416885</v>
      </c>
      <c r="H15" s="57" t="n">
        <v>1.042207736708053</v>
      </c>
      <c r="I15" s="57" t="n">
        <v>1.117852333772732</v>
      </c>
      <c r="J15" s="57" t="n">
        <v>1.087077369016657</v>
      </c>
      <c r="K15" s="57" t="n">
        <v>1.071387473286207</v>
      </c>
      <c r="L15" s="57" t="n">
        <v>1.158445166336804</v>
      </c>
    </row>
    <row r="16" ht="20" customHeight="1">
      <c r="A16" s="52" t="inlineStr">
        <is>
          <t xml:space="preserve">    Receivables Turnover Ratio</t>
        </is>
      </c>
      <c r="B16" s="2" t="inlineStr">
        <is>
          <t>Total Revenues / Accounts Receivable, Net</t>
        </is>
      </c>
      <c r="C16" s="55" t="n">
        <v>13.68788879014853</v>
      </c>
      <c r="D16" s="55" t="n">
        <v>12.82499720264071</v>
      </c>
      <c r="E16" s="55" t="n">
        <v>11.45497282843095</v>
      </c>
      <c r="F16" s="55" t="n">
        <v>11.34842536857716</v>
      </c>
      <c r="G16" s="55" t="n">
        <v>17.02946650124069</v>
      </c>
      <c r="H16" s="55" t="n">
        <v>13.92103660856991</v>
      </c>
      <c r="I16" s="55" t="n">
        <v>13.99120068123758</v>
      </c>
      <c r="J16" s="55" t="n">
        <v>12.98918937237359</v>
      </c>
      <c r="K16" s="55" t="n">
        <v>11.70413049985034</v>
      </c>
      <c r="L16" s="55" t="n">
        <v>10.46235261583327</v>
      </c>
    </row>
    <row r="17" ht="20" customHeight="1">
      <c r="A17" s="52" t="inlineStr">
        <is>
          <t xml:space="preserve">    Days Sales Outstanding (DSO)</t>
        </is>
      </c>
      <c r="B17" s="2" t="inlineStr">
        <is>
          <t>(Accounts Receivable * 365) / Total Revenues</t>
        </is>
      </c>
      <c r="C17" s="58" t="n">
        <v>26.66590922792259</v>
      </c>
      <c r="D17" s="58" t="n">
        <v>28.46004519399391</v>
      </c>
      <c r="E17" s="58" t="n">
        <v>31.86389050998701</v>
      </c>
      <c r="F17" s="58" t="n">
        <v>32.16305241876591</v>
      </c>
      <c r="G17" s="58" t="n">
        <v>21.43343715279675</v>
      </c>
      <c r="H17" s="58" t="n">
        <v>26.21931184171321</v>
      </c>
      <c r="I17" s="58" t="n">
        <v>26.08782536365665</v>
      </c>
      <c r="J17" s="58" t="n">
        <v>28.1002909062447</v>
      </c>
      <c r="K17" s="58" t="n">
        <v>31.18557162402343</v>
      </c>
      <c r="L17" s="58" t="n">
        <v>34.88699085209811</v>
      </c>
    </row>
    <row r="18" ht="20" customHeight="1">
      <c r="A18" s="52" t="inlineStr">
        <is>
          <t xml:space="preserve">    Inventory Turnover Ratio</t>
        </is>
      </c>
      <c r="B18" s="2" t="inlineStr">
        <is>
          <t>Cost of Goods Sold / Inventories</t>
        </is>
      </c>
      <c r="C18" s="55" t="n">
        <v>61.62101313320826</v>
      </c>
      <c r="D18" s="55" t="n">
        <v>29.05211122554068</v>
      </c>
      <c r="E18" s="55" t="n">
        <v>41.3943377148635</v>
      </c>
      <c r="F18" s="55" t="n">
        <v>39.40136385776912</v>
      </c>
      <c r="G18" s="55" t="n">
        <v>41.75301649839941</v>
      </c>
      <c r="H18" s="55" t="n">
        <v>32.36793313069909</v>
      </c>
      <c r="I18" s="55" t="n">
        <v>45.19733117670845</v>
      </c>
      <c r="J18" s="55" t="n">
        <v>33.82356657716001</v>
      </c>
      <c r="K18" s="55" t="n">
        <v>28.87071095251166</v>
      </c>
      <c r="L18" s="55" t="n">
        <v>38.6428821266177</v>
      </c>
    </row>
    <row r="19" ht="20" customHeight="1">
      <c r="A19" s="52" t="inlineStr">
        <is>
          <t xml:space="preserve">    Days Inventory Outstanding (DIO)</t>
        </is>
      </c>
      <c r="B19" s="2" t="inlineStr">
        <is>
          <t>(Inventories * 365) / Cost of Goods Sold</t>
        </is>
      </c>
      <c r="C19" s="58" t="n">
        <v>5.923304104250396</v>
      </c>
      <c r="D19" s="58" t="n">
        <v>12.56363082071351</v>
      </c>
      <c r="E19" s="58" t="n">
        <v>8.817631109699798</v>
      </c>
      <c r="F19" s="58" t="n">
        <v>9.263638723714628</v>
      </c>
      <c r="G19" s="58" t="n">
        <v>8.741883356235881</v>
      </c>
      <c r="H19" s="58" t="n">
        <v>11.27659274770989</v>
      </c>
      <c r="I19" s="58" t="n">
        <v>8.075698066617161</v>
      </c>
      <c r="J19" s="58" t="n">
        <v>10.79129249032162</v>
      </c>
      <c r="K19" s="58" t="n">
        <v>12.64257054841409</v>
      </c>
      <c r="L19" s="58" t="n">
        <v>9.445465242577843</v>
      </c>
    </row>
    <row r="20" ht="20" customHeight="1">
      <c r="A20" s="5" t="inlineStr">
        <is>
          <t>PROFITABILITY RATIOS</t>
        </is>
      </c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 ht="20" customHeight="1">
      <c r="A21" s="52" t="inlineStr">
        <is>
          <t xml:space="preserve">    Gross Profit Margin</t>
        </is>
      </c>
      <c r="B21" s="2" t="inlineStr">
        <is>
          <t>Gross Profit / Total Revenues</t>
        </is>
      </c>
      <c r="C21" s="42" t="n">
        <v>0.3907595564809705</v>
      </c>
      <c r="D21" s="42" t="n">
        <v>0.384698604918991</v>
      </c>
      <c r="E21" s="42" t="n">
        <v>0.383437188200079</v>
      </c>
      <c r="F21" s="42" t="n">
        <v>0.3781776810903472</v>
      </c>
      <c r="G21" s="42" t="n">
        <v>0.3823324772781087</v>
      </c>
      <c r="H21" s="42" t="n">
        <v>0.4177935962516778</v>
      </c>
      <c r="I21" s="42" t="n">
        <v>0.4330963056136009</v>
      </c>
      <c r="J21" s="42" t="n">
        <v>0.4413112957720756</v>
      </c>
      <c r="K21" s="42" t="n">
        <v>0.4620634981523393</v>
      </c>
      <c r="L21" s="42" t="n">
        <v>0.4690516410716045</v>
      </c>
    </row>
    <row r="22" ht="20" customHeight="1">
      <c r="A22" s="52" t="inlineStr">
        <is>
          <t xml:space="preserve">    Operating Profit Margin</t>
        </is>
      </c>
      <c r="B22" s="2" t="inlineStr">
        <is>
          <t>Operating Income (EBIT) / Total Revenues</t>
        </is>
      </c>
      <c r="C22" s="39" t="n">
        <v>0.2783541010670612</v>
      </c>
      <c r="D22" s="39" t="n">
        <v>0.2676042820872994</v>
      </c>
      <c r="E22" s="39" t="n">
        <v>0.2669402661947702</v>
      </c>
      <c r="F22" s="39" t="n">
        <v>0.2457201718849693</v>
      </c>
      <c r="G22" s="39" t="n">
        <v>0.2414731435440686</v>
      </c>
      <c r="H22" s="39" t="n">
        <v>0.2978237752756159</v>
      </c>
      <c r="I22" s="39" t="n">
        <v>0.3028874439552859</v>
      </c>
      <c r="J22" s="39" t="n">
        <v>0.2982141226502472</v>
      </c>
      <c r="K22" s="39" t="n">
        <v>0.3151022287007557</v>
      </c>
      <c r="L22" s="39" t="n">
        <v>0.3197079976259188</v>
      </c>
    </row>
    <row r="23" ht="20" customHeight="1">
      <c r="A23" s="52" t="inlineStr">
        <is>
          <t xml:space="preserve">    Net Profit Margin</t>
        </is>
      </c>
      <c r="B23" s="2" t="inlineStr">
        <is>
          <t>Net Income / Total Revenues</t>
        </is>
      </c>
      <c r="C23" s="42" t="n">
        <v>0.211867983064288</v>
      </c>
      <c r="D23" s="42" t="n">
        <v>0.2109242084507534</v>
      </c>
      <c r="E23" s="42" t="n">
        <v>0.2241420207458725</v>
      </c>
      <c r="F23" s="42" t="n">
        <v>0.2123809450598446</v>
      </c>
      <c r="G23" s="42" t="n">
        <v>0.2091361127807224</v>
      </c>
      <c r="H23" s="42" t="n">
        <v>0.2588179335569424</v>
      </c>
      <c r="I23" s="42" t="n">
        <v>0.2530964070519973</v>
      </c>
      <c r="J23" s="42" t="n">
        <v>0.2530623426432028</v>
      </c>
      <c r="K23" s="42" t="n">
        <v>0.2397125576994387</v>
      </c>
      <c r="L23" s="42" t="n">
        <v>0.2691506412181824</v>
      </c>
    </row>
    <row r="24" ht="20" customHeight="1">
      <c r="A24" s="52" t="inlineStr">
        <is>
          <t xml:space="preserve">    Return on Assets (ROA)</t>
        </is>
      </c>
      <c r="B24" s="2" t="inlineStr">
        <is>
          <t>Net Income / Total Assets</t>
        </is>
      </c>
      <c r="C24" s="39" t="n">
        <v>0.1420235882195681</v>
      </c>
      <c r="D24" s="39" t="n">
        <v>0.1288264116658096</v>
      </c>
      <c r="E24" s="39" t="n">
        <v>0.1627753093171098</v>
      </c>
      <c r="F24" s="39" t="n">
        <v>0.1632300984296163</v>
      </c>
      <c r="G24" s="39" t="n">
        <v>0.1772557180259843</v>
      </c>
      <c r="H24" s="39" t="n">
        <v>0.2697420527518362</v>
      </c>
      <c r="I24" s="39" t="n">
        <v>0.2829244092925685</v>
      </c>
      <c r="J24" s="39" t="n">
        <v>0.2750983456377648</v>
      </c>
      <c r="K24" s="39" t="n">
        <v>0.2568250315085758</v>
      </c>
      <c r="L24" s="39" t="n">
        <v>0.3117962593356549</v>
      </c>
    </row>
    <row r="25" ht="20" customHeight="1">
      <c r="A25" s="52" t="inlineStr">
        <is>
          <t xml:space="preserve">    Return on Equity (ROE)</t>
        </is>
      </c>
      <c r="B25" s="2" t="inlineStr">
        <is>
          <t>Net Income / Total Stockholders' Equity</t>
        </is>
      </c>
      <c r="C25" s="42" t="n">
        <v>0.3562366958026963</v>
      </c>
      <c r="D25" s="42" t="n">
        <v>0.3607018433832909</v>
      </c>
      <c r="E25" s="42" t="n">
        <v>0.5556011834209077</v>
      </c>
      <c r="F25" s="42" t="n">
        <v>0.6106445053487756</v>
      </c>
      <c r="G25" s="42" t="n">
        <v>0.8786635853012749</v>
      </c>
      <c r="H25" s="42" t="n">
        <v>1.500713266761769</v>
      </c>
      <c r="I25" s="42" t="n">
        <v>1.969588727502368</v>
      </c>
      <c r="J25" s="42" t="n">
        <v>1.560760145463908</v>
      </c>
      <c r="K25" s="42" t="n">
        <v>1.64593503072871</v>
      </c>
      <c r="L25" s="42" t="n">
        <v>1.519129833317511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AAPL — CONSOLIDATED STATEMENTS OF OPERATIONS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2016</v>
      </c>
      <c r="C3" s="4" t="n">
        <v>2017</v>
      </c>
      <c r="D3" s="4" t="n">
        <v>2018</v>
      </c>
      <c r="E3" s="4" t="n">
        <v>2019</v>
      </c>
      <c r="F3" s="4" t="n">
        <v>2020</v>
      </c>
      <c r="G3" s="4" t="n">
        <v>2021</v>
      </c>
      <c r="H3" s="4" t="n">
        <v>2022</v>
      </c>
      <c r="I3" s="4" t="n">
        <v>2023</v>
      </c>
      <c r="J3" s="4" t="n">
        <v>2024</v>
      </c>
      <c r="K3" s="4" t="n">
        <v>2025</v>
      </c>
    </row>
    <row r="4" ht="20" customHeight="1">
      <c r="A4" s="5" t="inlineStr">
        <is>
          <t>REVENUES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6" t="inlineStr">
        <is>
          <t xml:space="preserve">    Total Net Sales / Revenue</t>
        </is>
      </c>
      <c r="B5" s="7" t="n">
        <v>215639000000</v>
      </c>
      <c r="C5" s="7" t="n">
        <v>229234000000</v>
      </c>
      <c r="D5" s="7" t="n">
        <v>265595000000</v>
      </c>
      <c r="E5" s="7" t="n">
        <v>260174000000</v>
      </c>
      <c r="F5" s="7" t="n">
        <v>274515000000</v>
      </c>
      <c r="G5" s="7" t="n">
        <v>365817000000</v>
      </c>
      <c r="H5" s="7" t="n">
        <v>394328000000</v>
      </c>
      <c r="I5" s="7" t="n">
        <v>383285000000</v>
      </c>
      <c r="J5" s="7" t="n">
        <v>391035000000</v>
      </c>
      <c r="K5" s="7" t="n">
        <v>416161000000</v>
      </c>
    </row>
    <row r="6" ht="20" customHeight="1">
      <c r="A6" s="8" t="inlineStr">
        <is>
          <t xml:space="preserve">    Cost of Goods and Services Sold</t>
        </is>
      </c>
      <c r="B6" s="9" t="n">
        <v>131376000000</v>
      </c>
      <c r="C6" s="9" t="n">
        <v>141048000000</v>
      </c>
      <c r="D6" s="9" t="n">
        <v>163756000000</v>
      </c>
      <c r="E6" s="9" t="n">
        <v>161782000000</v>
      </c>
      <c r="F6" s="9" t="n">
        <v>169559000000</v>
      </c>
      <c r="G6" s="9" t="n">
        <v>212981000000</v>
      </c>
      <c r="H6" s="9" t="n">
        <v>223546000000</v>
      </c>
      <c r="I6" s="9" t="n">
        <v>214137000000</v>
      </c>
      <c r="J6" s="9" t="n">
        <v>210352000000</v>
      </c>
      <c r="K6" s="9" t="n">
        <v>220960000000</v>
      </c>
    </row>
    <row r="7" ht="20" customHeight="1">
      <c r="A7" s="6" t="inlineStr">
        <is>
          <t xml:space="preserve">    Gross Profit</t>
        </is>
      </c>
      <c r="B7" s="7" t="n">
        <v>84263000000</v>
      </c>
      <c r="C7" s="7" t="n">
        <v>88186000000</v>
      </c>
      <c r="D7" s="7" t="n">
        <v>101839000000</v>
      </c>
      <c r="E7" s="7" t="n">
        <v>98392000000</v>
      </c>
      <c r="F7" s="7" t="n">
        <v>104956000000</v>
      </c>
      <c r="G7" s="7" t="n">
        <v>152836000000</v>
      </c>
      <c r="H7" s="7" t="n">
        <v>170782000000</v>
      </c>
      <c r="I7" s="7" t="n">
        <v>169148000000</v>
      </c>
      <c r="J7" s="7" t="n">
        <v>180683000000</v>
      </c>
      <c r="K7" s="7" t="n">
        <v>195201000000</v>
      </c>
    </row>
    <row r="8" ht="20" customHeight="1">
      <c r="A8" s="5" t="inlineStr">
        <is>
          <t>OPERATING EXPENSES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0" customHeight="1">
      <c r="A9" s="10" t="inlineStr">
        <is>
          <t xml:space="preserve">    Research and Development</t>
        </is>
      </c>
      <c r="B9" s="11" t="n">
        <v>10045000000</v>
      </c>
      <c r="C9" s="11" t="n">
        <v>11581000000</v>
      </c>
      <c r="D9" s="11" t="n">
        <v>14236000000</v>
      </c>
      <c r="E9" s="11" t="n">
        <v>16217000000</v>
      </c>
      <c r="F9" s="11" t="n">
        <v>18752000000</v>
      </c>
      <c r="G9" s="11" t="n">
        <v>21914000000</v>
      </c>
      <c r="H9" s="11" t="n">
        <v>26251000000</v>
      </c>
      <c r="I9" s="11" t="n">
        <v>29915000000</v>
      </c>
      <c r="J9" s="11" t="n">
        <v>31370000000</v>
      </c>
      <c r="K9" s="11" t="n">
        <v>34550000000</v>
      </c>
    </row>
    <row r="10" ht="20" customHeight="1">
      <c r="A10" s="8" t="inlineStr">
        <is>
          <t xml:space="preserve">    Selling, General and Administrative</t>
        </is>
      </c>
      <c r="B10" s="9" t="n">
        <v>14194000000</v>
      </c>
      <c r="C10" s="9" t="n">
        <v>15261000000</v>
      </c>
      <c r="D10" s="9" t="n">
        <v>16705000000</v>
      </c>
      <c r="E10" s="9" t="n">
        <v>18245000000</v>
      </c>
      <c r="F10" s="9" t="n">
        <v>19916000000</v>
      </c>
      <c r="G10" s="9" t="n">
        <v>21973000000</v>
      </c>
      <c r="H10" s="9" t="n">
        <v>25094000000</v>
      </c>
      <c r="I10" s="9" t="n">
        <v>24932000000</v>
      </c>
      <c r="J10" s="9" t="n">
        <v>25330000000</v>
      </c>
      <c r="K10" s="9" t="n">
        <v>27601000000</v>
      </c>
    </row>
    <row r="11" ht="20" customHeight="1">
      <c r="A11" s="6" t="inlineStr">
        <is>
          <t xml:space="preserve">    Total Operating Expenses</t>
        </is>
      </c>
      <c r="B11" s="7" t="n">
        <v>24239000000</v>
      </c>
      <c r="C11" s="7" t="n">
        <v>26842000000</v>
      </c>
      <c r="D11" s="7" t="n">
        <v>30941000000</v>
      </c>
      <c r="E11" s="7" t="n">
        <v>34462000000</v>
      </c>
      <c r="F11" s="7" t="n">
        <v>38668000000</v>
      </c>
      <c r="G11" s="7" t="n">
        <v>43887000000</v>
      </c>
      <c r="H11" s="7" t="n">
        <v>51345000000</v>
      </c>
      <c r="I11" s="7" t="n">
        <v>54847000000</v>
      </c>
      <c r="J11" s="7" t="n">
        <v>56700000000</v>
      </c>
      <c r="K11" s="7" t="n">
        <v>62151000000</v>
      </c>
    </row>
    <row r="12" ht="20" customHeight="1">
      <c r="A12" s="12" t="inlineStr">
        <is>
          <t xml:space="preserve">    Operating Income (EBIT)</t>
        </is>
      </c>
      <c r="B12" s="13" t="n">
        <v>60024000000</v>
      </c>
      <c r="C12" s="13" t="n">
        <v>61344000000</v>
      </c>
      <c r="D12" s="13" t="n">
        <v>70898000000</v>
      </c>
      <c r="E12" s="13" t="n">
        <v>63930000000</v>
      </c>
      <c r="F12" s="13" t="n">
        <v>66288000000</v>
      </c>
      <c r="G12" s="13" t="n">
        <v>108949000000</v>
      </c>
      <c r="H12" s="13" t="n">
        <v>119437000000</v>
      </c>
      <c r="I12" s="13" t="n">
        <v>114301000000</v>
      </c>
      <c r="J12" s="13" t="n">
        <v>123216000000</v>
      </c>
      <c r="K12" s="13" t="n">
        <v>133050000000</v>
      </c>
    </row>
    <row r="13" ht="20" customHeight="1">
      <c r="A13" s="5" t="inlineStr">
        <is>
          <t>OTHER INCOME / (EXPENSE)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8" t="inlineStr">
        <is>
          <t xml:space="preserve">    Total Non-Operating Income / (Expense)</t>
        </is>
      </c>
      <c r="B14" s="9" t="n">
        <v>1348000000</v>
      </c>
      <c r="C14" s="9" t="n">
        <v>2745000000</v>
      </c>
      <c r="D14" s="9" t="n">
        <v>2005000000</v>
      </c>
      <c r="E14" s="9" t="n">
        <v>1807000000</v>
      </c>
      <c r="F14" s="9" t="n">
        <v>803000000</v>
      </c>
      <c r="G14" s="9" t="n">
        <v>258000000</v>
      </c>
      <c r="H14" s="9" t="n">
        <v>-334000000</v>
      </c>
      <c r="I14" s="9" t="n">
        <v>-565000000</v>
      </c>
      <c r="J14" s="9" t="n">
        <v>269000000</v>
      </c>
      <c r="K14" s="9" t="n">
        <v>-321000000</v>
      </c>
    </row>
    <row r="15" ht="20" customHeight="1">
      <c r="A15" s="10" t="inlineStr">
        <is>
          <t xml:space="preserve">    Interest Expense</t>
        </is>
      </c>
      <c r="B15" s="11" t="n">
        <v>1456000000</v>
      </c>
      <c r="C15" s="11" t="n">
        <v>2323000000</v>
      </c>
      <c r="D15" s="11" t="n">
        <v>3240000000</v>
      </c>
      <c r="E15" s="11" t="n">
        <v>3576000000</v>
      </c>
      <c r="F15" s="11" t="n">
        <v>2873000000</v>
      </c>
      <c r="G15" s="11" t="n">
        <v>2645000000</v>
      </c>
      <c r="H15" s="11" t="n">
        <v>2931000000</v>
      </c>
      <c r="I15" s="11" t="n">
        <v>3933000000</v>
      </c>
      <c r="J15" s="11" t="n">
        <v>3950000000</v>
      </c>
      <c r="K15" s="11" t="n">
        <v>3820000000</v>
      </c>
    </row>
    <row r="16" ht="20" customHeight="1">
      <c r="A16" s="12" t="inlineStr">
        <is>
          <t xml:space="preserve">    Income Before Income Taxes</t>
        </is>
      </c>
      <c r="B16" s="13" t="n">
        <v>61372000000</v>
      </c>
      <c r="C16" s="13" t="n">
        <v>64089000000</v>
      </c>
      <c r="D16" s="13" t="n">
        <v>72903000000</v>
      </c>
      <c r="E16" s="13" t="n">
        <v>65737000000</v>
      </c>
      <c r="F16" s="13" t="n">
        <v>67091000000</v>
      </c>
      <c r="G16" s="13" t="n">
        <v>109207000000</v>
      </c>
      <c r="H16" s="13" t="n">
        <v>119103000000</v>
      </c>
      <c r="I16" s="13" t="n">
        <v>113736000000</v>
      </c>
      <c r="J16" s="13" t="n">
        <v>123485000000</v>
      </c>
      <c r="K16" s="13" t="n">
        <v>132729000000</v>
      </c>
    </row>
    <row r="17" ht="20" customHeight="1">
      <c r="A17" s="10" t="inlineStr">
        <is>
          <t xml:space="preserve">    Income Tax Expense / (Benefit)</t>
        </is>
      </c>
      <c r="B17" s="11" t="n">
        <v>15685000000</v>
      </c>
      <c r="C17" s="11" t="n">
        <v>15738000000</v>
      </c>
      <c r="D17" s="11" t="n">
        <v>13372000000</v>
      </c>
      <c r="E17" s="11" t="n">
        <v>10481000000</v>
      </c>
      <c r="F17" s="11" t="n">
        <v>9680000000</v>
      </c>
      <c r="G17" s="11" t="n">
        <v>14527000000</v>
      </c>
      <c r="H17" s="11" t="n">
        <v>19300000000</v>
      </c>
      <c r="I17" s="11" t="n">
        <v>16741000000</v>
      </c>
      <c r="J17" s="11" t="n">
        <v>29749000000</v>
      </c>
      <c r="K17" s="11" t="n">
        <v>20719000000</v>
      </c>
    </row>
    <row r="18" ht="20" customHeight="1">
      <c r="A18" s="14" t="inlineStr">
        <is>
          <t xml:space="preserve">    Net Income</t>
        </is>
      </c>
      <c r="B18" s="15" t="n">
        <v>45687000000</v>
      </c>
      <c r="C18" s="15" t="n">
        <v>48351000000</v>
      </c>
      <c r="D18" s="15" t="n">
        <v>59531000000</v>
      </c>
      <c r="E18" s="15" t="n">
        <v>55256000000</v>
      </c>
      <c r="F18" s="15" t="n">
        <v>57411000000</v>
      </c>
      <c r="G18" s="15" t="n">
        <v>94680000000</v>
      </c>
      <c r="H18" s="15" t="n">
        <v>99803000000</v>
      </c>
      <c r="I18" s="15" t="n">
        <v>96995000000</v>
      </c>
      <c r="J18" s="15" t="n">
        <v>93736000000</v>
      </c>
      <c r="K18" s="15" t="n">
        <v>112010000000</v>
      </c>
    </row>
    <row r="19" ht="20" customHeight="1">
      <c r="A19" s="5" t="inlineStr">
        <is>
          <t>PER SHARE DATA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8" t="inlineStr">
        <is>
          <t xml:space="preserve">    Basic Earnings Per Share (USD)</t>
        </is>
      </c>
      <c r="B20" s="16" t="n">
        <v>2.09</v>
      </c>
      <c r="C20" s="16" t="n">
        <v>2.32</v>
      </c>
      <c r="D20" s="16" t="n">
        <v>3</v>
      </c>
      <c r="E20" s="16" t="n">
        <v>2.99</v>
      </c>
      <c r="F20" s="16" t="n">
        <v>3.31</v>
      </c>
      <c r="G20" s="16" t="n">
        <v>5.67</v>
      </c>
      <c r="H20" s="16" t="n">
        <v>6.15</v>
      </c>
      <c r="I20" s="16" t="n">
        <v>6.16</v>
      </c>
      <c r="J20" s="16" t="n">
        <v>6.11</v>
      </c>
      <c r="K20" s="16" t="n">
        <v>7.51</v>
      </c>
    </row>
    <row r="21" ht="20" customHeight="1">
      <c r="A21" s="10" t="inlineStr">
        <is>
          <t xml:space="preserve">    Diluted Earnings Per Share (USD)</t>
        </is>
      </c>
      <c r="B21" s="17" t="n">
        <v>2.08</v>
      </c>
      <c r="C21" s="17" t="n">
        <v>2.3</v>
      </c>
      <c r="D21" s="17" t="n">
        <v>2.98</v>
      </c>
      <c r="E21" s="17" t="n">
        <v>2.97</v>
      </c>
      <c r="F21" s="17" t="n">
        <v>3.28</v>
      </c>
      <c r="G21" s="17" t="n">
        <v>5.61</v>
      </c>
      <c r="H21" s="17" t="n">
        <v>6.11</v>
      </c>
      <c r="I21" s="17" t="n">
        <v>6.13</v>
      </c>
      <c r="J21" s="17" t="n">
        <v>6.08</v>
      </c>
      <c r="K21" s="17" t="n">
        <v>7.46</v>
      </c>
    </row>
    <row r="22" ht="20" customHeight="1">
      <c r="A22" s="8" t="inlineStr">
        <is>
          <t xml:space="preserve">    Weighted Average Shares (Basic)</t>
        </is>
      </c>
      <c r="B22" s="9" t="n">
        <v>21883000000</v>
      </c>
      <c r="C22" s="9" t="n">
        <v>20869000000</v>
      </c>
      <c r="D22" s="9" t="n">
        <v>19822000000</v>
      </c>
      <c r="E22" s="9" t="n">
        <v>18471000000</v>
      </c>
      <c r="F22" s="9" t="n">
        <v>17352000000</v>
      </c>
      <c r="G22" s="9" t="n">
        <v>16701000000</v>
      </c>
      <c r="H22" s="9" t="n">
        <v>16216000000</v>
      </c>
      <c r="I22" s="9" t="n">
        <v>15744000000</v>
      </c>
      <c r="J22" s="9" t="n">
        <v>15344000000</v>
      </c>
      <c r="K22" s="9" t="n">
        <v>14915000000</v>
      </c>
    </row>
    <row r="23" ht="20" customHeight="1">
      <c r="A23" s="10" t="inlineStr">
        <is>
          <t xml:space="preserve">    Weighted Average Shares (Diluted)</t>
        </is>
      </c>
      <c r="B23" s="11" t="n">
        <v>22001000000</v>
      </c>
      <c r="C23" s="11" t="n">
        <v>21006000000</v>
      </c>
      <c r="D23" s="11" t="n">
        <v>20001000000</v>
      </c>
      <c r="E23" s="11" t="n">
        <v>18596000000</v>
      </c>
      <c r="F23" s="11" t="n">
        <v>17528000000</v>
      </c>
      <c r="G23" s="11" t="n">
        <v>16865000000</v>
      </c>
      <c r="H23" s="11" t="n">
        <v>16326000000</v>
      </c>
      <c r="I23" s="11" t="n">
        <v>15813000000</v>
      </c>
      <c r="J23" s="11" t="n">
        <v>15408000000</v>
      </c>
      <c r="K23" s="11" t="n">
        <v>15015000000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AAPL — CONSOLIDATED BALANCE SHEETS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2016</v>
      </c>
      <c r="C3" s="4" t="n">
        <v>2017</v>
      </c>
      <c r="D3" s="4" t="n">
        <v>2018</v>
      </c>
      <c r="E3" s="4" t="n">
        <v>2019</v>
      </c>
      <c r="F3" s="4" t="n">
        <v>2020</v>
      </c>
      <c r="G3" s="4" t="n">
        <v>2021</v>
      </c>
      <c r="H3" s="4" t="n">
        <v>2022</v>
      </c>
      <c r="I3" s="4" t="n">
        <v>2023</v>
      </c>
      <c r="J3" s="4" t="n">
        <v>2024</v>
      </c>
      <c r="K3" s="4" t="n">
        <v>2025</v>
      </c>
    </row>
    <row r="4" ht="20" customHeight="1">
      <c r="A4" s="5" t="inlineStr">
        <is>
          <t>CURRENT ASSETS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10" t="inlineStr">
        <is>
          <t xml:space="preserve">    Cash and Cash Equivalents</t>
        </is>
      </c>
      <c r="B5" s="11" t="n">
        <v>20484000000</v>
      </c>
      <c r="C5" s="11" t="n">
        <v>20289000000</v>
      </c>
      <c r="D5" s="11" t="n">
        <v>25913000000</v>
      </c>
      <c r="E5" s="11" t="n">
        <v>48844000000</v>
      </c>
      <c r="F5" s="11" t="n">
        <v>38016000000</v>
      </c>
      <c r="G5" s="11" t="n">
        <v>34940000000</v>
      </c>
      <c r="H5" s="11" t="n">
        <v>23646000000</v>
      </c>
      <c r="I5" s="11" t="n">
        <v>29965000000</v>
      </c>
      <c r="J5" s="11" t="n">
        <v>29943000000</v>
      </c>
      <c r="K5" s="11" t="n">
        <v>35934000000</v>
      </c>
    </row>
    <row r="6" ht="20" customHeight="1">
      <c r="A6" s="8" t="inlineStr">
        <is>
          <t xml:space="preserve">    Marketable Securities (Current)</t>
        </is>
      </c>
      <c r="B6" s="9" t="n">
        <v>46671000000</v>
      </c>
      <c r="C6" s="9" t="n">
        <v>53892000000</v>
      </c>
      <c r="D6" s="9" t="n">
        <v>40388000000</v>
      </c>
      <c r="E6" s="9" t="n">
        <v>51713000000</v>
      </c>
      <c r="F6" s="9" t="n">
        <v>52927000000</v>
      </c>
      <c r="G6" s="9" t="n">
        <v>27699000000</v>
      </c>
      <c r="H6" s="9" t="n">
        <v>24658000000</v>
      </c>
      <c r="I6" s="9" t="n">
        <v>31590000000</v>
      </c>
      <c r="J6" s="9" t="n">
        <v>35228000000</v>
      </c>
      <c r="K6" s="9" t="n">
        <v>18763000000</v>
      </c>
    </row>
    <row r="7" ht="20" customHeight="1">
      <c r="A7" s="10" t="inlineStr">
        <is>
          <t xml:space="preserve">    Accounts Receivable, Net</t>
        </is>
      </c>
      <c r="B7" s="11" t="n">
        <v>15754000000</v>
      </c>
      <c r="C7" s="11" t="n">
        <v>17874000000</v>
      </c>
      <c r="D7" s="11" t="n">
        <v>23186000000</v>
      </c>
      <c r="E7" s="11" t="n">
        <v>22926000000</v>
      </c>
      <c r="F7" s="11" t="n">
        <v>16120000000</v>
      </c>
      <c r="G7" s="11" t="n">
        <v>26278000000</v>
      </c>
      <c r="H7" s="11" t="n">
        <v>28184000000</v>
      </c>
      <c r="I7" s="11" t="n">
        <v>29508000000</v>
      </c>
      <c r="J7" s="11" t="n">
        <v>33410000000</v>
      </c>
      <c r="K7" s="11" t="n">
        <v>39777000000</v>
      </c>
    </row>
    <row r="8" ht="20" customHeight="1">
      <c r="A8" s="8" t="inlineStr">
        <is>
          <t xml:space="preserve">    Inventories</t>
        </is>
      </c>
      <c r="B8" s="9" t="n">
        <v>2132000000</v>
      </c>
      <c r="C8" s="9" t="n">
        <v>4855000000</v>
      </c>
      <c r="D8" s="9" t="n">
        <v>3956000000</v>
      </c>
      <c r="E8" s="9" t="n">
        <v>4106000000</v>
      </c>
      <c r="F8" s="9" t="n">
        <v>4061000000</v>
      </c>
      <c r="G8" s="9" t="n">
        <v>6580000000</v>
      </c>
      <c r="H8" s="9" t="n">
        <v>4946000000</v>
      </c>
      <c r="I8" s="9" t="n">
        <v>6331000000</v>
      </c>
      <c r="J8" s="9" t="n">
        <v>7286000000</v>
      </c>
      <c r="K8" s="9" t="n">
        <v>5718000000</v>
      </c>
    </row>
    <row r="9" ht="20" customHeight="1">
      <c r="A9" s="10" t="inlineStr">
        <is>
          <t xml:space="preserve">    Other Current Assets</t>
        </is>
      </c>
      <c r="B9" s="11" t="n">
        <v>21828000000</v>
      </c>
      <c r="C9" s="11" t="n">
        <v>31735000000</v>
      </c>
      <c r="D9" s="11" t="n">
        <v>37896000000</v>
      </c>
      <c r="E9" s="11" t="n">
        <v>35230000000</v>
      </c>
      <c r="F9" s="11" t="n">
        <v>32589000000</v>
      </c>
      <c r="G9" s="11" t="n">
        <v>39339000000</v>
      </c>
      <c r="H9" s="11" t="n">
        <v>33971000000</v>
      </c>
      <c r="I9" s="11" t="n">
        <v>46172000000</v>
      </c>
      <c r="J9" s="11" t="n">
        <v>47120000000</v>
      </c>
      <c r="K9" s="11" t="n">
        <v>47765000000</v>
      </c>
    </row>
    <row r="10" ht="20" customHeight="1">
      <c r="A10" s="12" t="inlineStr">
        <is>
          <t xml:space="preserve">    Total Current Assets</t>
        </is>
      </c>
      <c r="B10" s="13" t="n">
        <v>106869000000</v>
      </c>
      <c r="C10" s="13" t="n">
        <v>128645000000</v>
      </c>
      <c r="D10" s="13" t="n">
        <v>131339000000</v>
      </c>
      <c r="E10" s="13" t="n">
        <v>162819000000</v>
      </c>
      <c r="F10" s="13" t="n">
        <v>143713000000</v>
      </c>
      <c r="G10" s="13" t="n">
        <v>134836000000</v>
      </c>
      <c r="H10" s="13" t="n">
        <v>135405000000</v>
      </c>
      <c r="I10" s="13" t="n">
        <v>143566000000</v>
      </c>
      <c r="J10" s="13" t="n">
        <v>152987000000</v>
      </c>
      <c r="K10" s="13" t="n">
        <v>147957000000</v>
      </c>
    </row>
    <row r="11" ht="20" customHeight="1">
      <c r="A11" s="5" t="inlineStr">
        <is>
          <t>NON-CURRENT ASSETS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8" t="inlineStr">
        <is>
          <t xml:space="preserve">    Property, Plant and Equipment, Net</t>
        </is>
      </c>
      <c r="B12" s="9" t="n">
        <v>27010000000</v>
      </c>
      <c r="C12" s="9" t="n">
        <v>33783000000</v>
      </c>
      <c r="D12" s="9" t="n">
        <v>41304000000</v>
      </c>
      <c r="E12" s="9" t="n">
        <v>37378000000</v>
      </c>
      <c r="F12" s="9" t="n">
        <v>36766000000</v>
      </c>
      <c r="G12" s="9" t="n">
        <v>39440000000</v>
      </c>
      <c r="H12" s="9" t="n">
        <v>42117000000</v>
      </c>
      <c r="I12" s="9" t="n">
        <v>43715000000</v>
      </c>
      <c r="J12" s="9" t="n">
        <v>45680000000</v>
      </c>
      <c r="K12" s="9" t="n">
        <v>49834000000</v>
      </c>
    </row>
    <row r="13" ht="20" customHeight="1">
      <c r="A13" s="10" t="inlineStr">
        <is>
          <t xml:space="preserve">    Goodwill</t>
        </is>
      </c>
      <c r="B13" s="11" t="n">
        <v>5414000000</v>
      </c>
      <c r="C13" s="11" t="n">
        <v>5717000000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 ht="20" customHeight="1">
      <c r="A14" s="8" t="inlineStr">
        <is>
          <t xml:space="preserve">    Intangible Assets, Net</t>
        </is>
      </c>
      <c r="B14" s="9" t="n">
        <v>3206000000</v>
      </c>
      <c r="C14" s="9" t="n">
        <v>2298000000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</row>
    <row r="15" ht="20" customHeight="1">
      <c r="A15" s="10" t="inlineStr">
        <is>
          <t xml:space="preserve">    Marketable Securities (Non-Current)</t>
        </is>
      </c>
      <c r="B15" s="11" t="n">
        <v>170430000000</v>
      </c>
      <c r="C15" s="11" t="n">
        <v>194714000000</v>
      </c>
      <c r="D15" s="11" t="n">
        <v>170799000000</v>
      </c>
      <c r="E15" s="11" t="n">
        <v>105341000000</v>
      </c>
      <c r="F15" s="11" t="n">
        <v>100887000000</v>
      </c>
      <c r="G15" s="11" t="n">
        <v>127877000000</v>
      </c>
      <c r="H15" s="11" t="n">
        <v>120805000000</v>
      </c>
      <c r="I15" s="11" t="n">
        <v>100544000000</v>
      </c>
      <c r="J15" s="11" t="n">
        <v>109558000000</v>
      </c>
      <c r="K15" s="11" t="n">
        <v>77723000000</v>
      </c>
    </row>
    <row r="16" ht="20" customHeight="1">
      <c r="A16" s="8" t="inlineStr">
        <is>
          <t xml:space="preserve">    Other Non-Current Assets</t>
        </is>
      </c>
      <c r="B16" s="9" t="n">
        <v>8757000000</v>
      </c>
      <c r="C16" s="9" t="n">
        <v>10162000000</v>
      </c>
      <c r="D16" s="9" t="n">
        <v>22283000000</v>
      </c>
      <c r="E16" s="9" t="n">
        <v>32978000000</v>
      </c>
      <c r="F16" s="9" t="n">
        <v>42522000000</v>
      </c>
      <c r="G16" s="9" t="n">
        <v>48849000000</v>
      </c>
      <c r="H16" s="9" t="n">
        <v>54428000000</v>
      </c>
      <c r="I16" s="9" t="n">
        <v>64758000000</v>
      </c>
      <c r="J16" s="9" t="n">
        <v>56755000000</v>
      </c>
      <c r="K16" s="9" t="n">
        <v>83727000000</v>
      </c>
    </row>
    <row r="17" ht="20" customHeight="1">
      <c r="A17" s="18" t="inlineStr">
        <is>
          <t xml:space="preserve">    Total Assets</t>
        </is>
      </c>
      <c r="B17" s="19" t="n">
        <v>321686000000</v>
      </c>
      <c r="C17" s="19" t="n">
        <v>375319000000</v>
      </c>
      <c r="D17" s="19" t="n">
        <v>365725000000</v>
      </c>
      <c r="E17" s="19" t="n">
        <v>338516000000</v>
      </c>
      <c r="F17" s="19" t="n">
        <v>323888000000</v>
      </c>
      <c r="G17" s="19" t="n">
        <v>351002000000</v>
      </c>
      <c r="H17" s="19" t="n">
        <v>352755000000</v>
      </c>
      <c r="I17" s="19" t="n">
        <v>352583000000</v>
      </c>
      <c r="J17" s="19" t="n">
        <v>364980000000</v>
      </c>
      <c r="K17" s="19" t="n">
        <v>359241000000</v>
      </c>
    </row>
    <row r="18" ht="20" customHeight="1">
      <c r="A18" s="5" t="inlineStr">
        <is>
          <t>CURRENT LIABILITIES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0" customHeight="1">
      <c r="A19" s="10" t="inlineStr">
        <is>
          <t xml:space="preserve">    Accounts Payable</t>
        </is>
      </c>
      <c r="B19" s="11" t="n">
        <v>37294000000</v>
      </c>
      <c r="C19" s="11" t="n">
        <v>44242000000</v>
      </c>
      <c r="D19" s="11" t="n">
        <v>55888000000</v>
      </c>
      <c r="E19" s="11" t="n">
        <v>46236000000</v>
      </c>
      <c r="F19" s="11" t="n">
        <v>42296000000</v>
      </c>
      <c r="G19" s="11" t="n">
        <v>54763000000</v>
      </c>
      <c r="H19" s="11" t="n">
        <v>64115000000</v>
      </c>
      <c r="I19" s="11" t="n">
        <v>62611000000</v>
      </c>
      <c r="J19" s="11" t="n">
        <v>68960000000</v>
      </c>
      <c r="K19" s="11" t="n">
        <v>69860000000</v>
      </c>
    </row>
    <row r="20" ht="20" customHeight="1">
      <c r="A20" s="8" t="inlineStr">
        <is>
          <t xml:space="preserve">    Accrued Liabilities</t>
        </is>
      </c>
      <c r="B20" s="9" t="n">
        <v>22027000000</v>
      </c>
      <c r="C20" s="9" t="n">
        <v>25744000000</v>
      </c>
      <c r="D20" s="9" t="n">
        <v>33327000000</v>
      </c>
      <c r="E20" s="9" t="n">
        <v>37720000000</v>
      </c>
      <c r="F20" s="9" t="n">
        <v>38510000000</v>
      </c>
      <c r="G20" s="9" t="n">
        <v>47493000000</v>
      </c>
      <c r="H20" s="9" t="n">
        <v>60845000000</v>
      </c>
      <c r="I20" s="9" t="n">
        <v>58829000000</v>
      </c>
      <c r="J20" s="9" t="n">
        <v>79247000000</v>
      </c>
      <c r="K20" s="9" t="n">
        <v>75231000000</v>
      </c>
    </row>
    <row r="21" ht="20" customHeight="1">
      <c r="A21" s="10" t="inlineStr">
        <is>
          <t xml:space="preserve">    Deferred Revenue (Current)</t>
        </is>
      </c>
      <c r="B21" s="11" t="n">
        <v>8080000000</v>
      </c>
      <c r="C21" s="11" t="n">
        <v>7548000000</v>
      </c>
      <c r="D21" s="11" t="n">
        <v>5966000000</v>
      </c>
      <c r="E21" s="11" t="n">
        <v>5522000000</v>
      </c>
      <c r="F21" s="11" t="n">
        <v>6643000000</v>
      </c>
      <c r="G21" s="11" t="n">
        <v>7612000000</v>
      </c>
      <c r="H21" s="11" t="n">
        <v>7912000000</v>
      </c>
      <c r="I21" s="11" t="n">
        <v>8061000000</v>
      </c>
      <c r="J21" s="11" t="n">
        <v>8249000000</v>
      </c>
      <c r="K21" s="11" t="n">
        <v>8190000000</v>
      </c>
    </row>
    <row r="22" ht="20" customHeight="1">
      <c r="A22" s="8" t="inlineStr">
        <is>
          <t xml:space="preserve">    Commercial Paper and Short-Term Debt</t>
        </is>
      </c>
      <c r="B22" s="9" t="n">
        <v>11605000000</v>
      </c>
      <c r="C22" s="9" t="n">
        <v>23280000000</v>
      </c>
      <c r="D22" s="9" t="n">
        <v>21685000000</v>
      </c>
      <c r="E22" s="9" t="n">
        <v>16240000000</v>
      </c>
      <c r="F22" s="9" t="n">
        <v>17943000000</v>
      </c>
      <c r="G22" s="9" t="n">
        <v>15613000000</v>
      </c>
      <c r="H22" s="9" t="n">
        <v>21110000000</v>
      </c>
      <c r="I22" s="9" t="n">
        <v>15807000000</v>
      </c>
      <c r="J22" s="9" t="n">
        <v>19936000000</v>
      </c>
      <c r="K22" s="9" t="n">
        <v>12350000000</v>
      </c>
    </row>
    <row r="23" ht="20" customHeight="1">
      <c r="A23" s="6" t="inlineStr">
        <is>
          <t xml:space="preserve">    Total Current Liabilities</t>
        </is>
      </c>
      <c r="B23" s="7" t="n">
        <v>79006000000</v>
      </c>
      <c r="C23" s="7" t="n">
        <v>100814000000</v>
      </c>
      <c r="D23" s="7" t="n">
        <v>116866000000</v>
      </c>
      <c r="E23" s="7" t="n">
        <v>105718000000</v>
      </c>
      <c r="F23" s="7" t="n">
        <v>105392000000</v>
      </c>
      <c r="G23" s="7" t="n">
        <v>125481000000</v>
      </c>
      <c r="H23" s="7" t="n">
        <v>153982000000</v>
      </c>
      <c r="I23" s="7" t="n">
        <v>145308000000</v>
      </c>
      <c r="J23" s="7" t="n">
        <v>176392000000</v>
      </c>
      <c r="K23" s="7" t="n">
        <v>165631000000</v>
      </c>
    </row>
    <row r="24" ht="20" customHeight="1">
      <c r="A24" s="5" t="inlineStr">
        <is>
          <t>NON-CURRENT LIABILITIES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10" t="inlineStr">
        <is>
          <t xml:space="preserve">    Long-Term Debt</t>
        </is>
      </c>
      <c r="B25" s="11" t="n">
        <v>75427000000</v>
      </c>
      <c r="C25" s="11" t="n">
        <v>97207000000</v>
      </c>
      <c r="D25" s="11" t="n">
        <v>93735000000</v>
      </c>
      <c r="E25" s="11" t="n">
        <v>91807000000</v>
      </c>
      <c r="F25" s="11" t="n">
        <v>98667000000</v>
      </c>
      <c r="G25" s="11" t="n">
        <v>109106000000</v>
      </c>
      <c r="H25" s="11" t="n">
        <v>98959000000</v>
      </c>
      <c r="I25" s="11" t="n">
        <v>95281000000</v>
      </c>
      <c r="J25" s="11" t="n">
        <v>85750000000</v>
      </c>
      <c r="K25" s="11" t="n">
        <v>78328000000</v>
      </c>
    </row>
    <row r="26" ht="20" customHeight="1">
      <c r="A26" s="8" t="inlineStr">
        <is>
          <t xml:space="preserve">    Deferred Revenue (Non-Current)</t>
        </is>
      </c>
      <c r="B26" s="9" t="n">
        <v>2930000000</v>
      </c>
      <c r="C26" s="9" t="n">
        <v>2797000000</v>
      </c>
      <c r="D26" s="9" t="n">
        <v>2930000000</v>
      </c>
      <c r="E26" s="9" t="n">
        <v>2625000000</v>
      </c>
      <c r="F26" s="9" t="n">
        <v>3514000000</v>
      </c>
      <c r="G26" s="9" t="n">
        <v>4330000000</v>
      </c>
      <c r="H26" s="9" t="n">
        <v>3713000000</v>
      </c>
      <c r="I26" s="9" t="n">
        <v>4027000000</v>
      </c>
      <c r="J26" s="9" t="n">
        <v>4547000000</v>
      </c>
      <c r="K26" s="9" t="n">
        <v>4210000000</v>
      </c>
    </row>
    <row r="27" ht="20" customHeight="1">
      <c r="A27" s="10" t="inlineStr">
        <is>
          <t xml:space="preserve">    Other Non-Current Liabilities</t>
        </is>
      </c>
      <c r="B27" s="11" t="n">
        <v>36074000000</v>
      </c>
      <c r="C27" s="11" t="n">
        <v>40454000000</v>
      </c>
      <c r="D27" s="11" t="n">
        <v>45047000000</v>
      </c>
      <c r="E27" s="11" t="n">
        <v>47878000000</v>
      </c>
      <c r="F27" s="11" t="n">
        <v>50990000000</v>
      </c>
      <c r="G27" s="11" t="n">
        <v>48995000000</v>
      </c>
      <c r="H27" s="11" t="n">
        <v>49142000000</v>
      </c>
      <c r="I27" s="11" t="n">
        <v>45821000000</v>
      </c>
      <c r="J27" s="11" t="n">
        <v>41341000000</v>
      </c>
      <c r="K27" s="11" t="n">
        <v>37339000000</v>
      </c>
    </row>
    <row r="28" ht="20" customHeight="1">
      <c r="A28" s="12" t="inlineStr">
        <is>
          <t xml:space="preserve">    Total Liabilities</t>
        </is>
      </c>
      <c r="B28" s="13" t="n">
        <v>193437000000</v>
      </c>
      <c r="C28" s="13" t="n">
        <v>241272000000</v>
      </c>
      <c r="D28" s="13" t="n">
        <v>258578000000</v>
      </c>
      <c r="E28" s="13" t="n">
        <v>248028000000</v>
      </c>
      <c r="F28" s="13" t="n">
        <v>258549000000</v>
      </c>
      <c r="G28" s="13" t="n">
        <v>287912000000</v>
      </c>
      <c r="H28" s="13" t="n">
        <v>302083000000</v>
      </c>
      <c r="I28" s="13" t="n">
        <v>290437000000</v>
      </c>
      <c r="J28" s="13" t="n">
        <v>308030000000</v>
      </c>
      <c r="K28" s="13" t="n">
        <v>285508000000</v>
      </c>
    </row>
    <row r="29" ht="20" customHeight="1">
      <c r="A29" s="5" t="inlineStr">
        <is>
          <t>STOCKHOLDERS' EQUITY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0" customHeight="1">
      <c r="A30" s="8" t="inlineStr">
        <is>
          <t xml:space="preserve">    Common Stock</t>
        </is>
      </c>
      <c r="B30" s="9" t="n">
        <v>31251000000</v>
      </c>
      <c r="C30" s="9" t="n">
        <v>35867000000</v>
      </c>
      <c r="D30" s="9" t="n">
        <v>40201000000</v>
      </c>
      <c r="E30" s="9" t="n">
        <v>45174000000</v>
      </c>
      <c r="F30" s="9" t="n">
        <v>50779000000</v>
      </c>
      <c r="G30" s="9" t="n">
        <v>57365000000</v>
      </c>
      <c r="H30" s="9" t="n">
        <v>64849000000</v>
      </c>
      <c r="I30" s="9" t="n">
        <v>73812000000</v>
      </c>
      <c r="J30" s="9" t="n">
        <v>83274000000</v>
      </c>
      <c r="K30" s="9" t="n">
        <v>93568000000</v>
      </c>
    </row>
    <row r="31" ht="20" customHeight="1">
      <c r="A31" s="10" t="inlineStr">
        <is>
          <t xml:space="preserve">    Additional Paid-in Capital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</row>
    <row r="32" ht="20" customHeight="1">
      <c r="A32" s="8" t="inlineStr">
        <is>
          <t xml:space="preserve">    Retained Earnings / (Accumulated Deficit)</t>
        </is>
      </c>
      <c r="B32" s="9" t="n">
        <v>96364000000</v>
      </c>
      <c r="C32" s="9" t="n">
        <v>98330000000</v>
      </c>
      <c r="D32" s="9" t="n">
        <v>70400000000</v>
      </c>
      <c r="E32" s="9" t="n">
        <v>45898000000</v>
      </c>
      <c r="F32" s="9" t="n">
        <v>14966000000</v>
      </c>
      <c r="G32" s="9" t="n">
        <v>5562000000</v>
      </c>
      <c r="H32" s="9" t="n">
        <v>-3068000000</v>
      </c>
      <c r="I32" s="9" t="n">
        <v>-214000000</v>
      </c>
      <c r="J32" s="9" t="n">
        <v>-19154000000</v>
      </c>
      <c r="K32" s="9" t="n">
        <v>-14264000000</v>
      </c>
    </row>
    <row r="33" ht="20" customHeight="1">
      <c r="A33" s="10" t="inlineStr">
        <is>
          <t xml:space="preserve">    Accumulated Other Comprehensive Income / (Loss)</t>
        </is>
      </c>
      <c r="B33" s="11" t="n">
        <v>634000000</v>
      </c>
      <c r="C33" s="11" t="n">
        <v>-150000000</v>
      </c>
      <c r="D33" s="11" t="n">
        <v>-3454000000</v>
      </c>
      <c r="E33" s="11" t="n">
        <v>-584000000</v>
      </c>
      <c r="F33" s="11" t="n">
        <v>-406000000</v>
      </c>
      <c r="G33" s="11" t="n">
        <v>163000000</v>
      </c>
      <c r="H33" s="11" t="n">
        <v>-11109000000</v>
      </c>
      <c r="I33" s="11" t="n">
        <v>-11452000000</v>
      </c>
      <c r="J33" s="11" t="n">
        <v>-7170000000</v>
      </c>
      <c r="K33" s="11" t="n">
        <v>-5571000000</v>
      </c>
    </row>
    <row r="34" ht="20" customHeight="1">
      <c r="A34" s="12" t="inlineStr">
        <is>
          <t xml:space="preserve">    Total Stockholders' Equity</t>
        </is>
      </c>
      <c r="B34" s="13" t="n">
        <v>128249000000</v>
      </c>
      <c r="C34" s="13" t="n">
        <v>134047000000</v>
      </c>
      <c r="D34" s="13" t="n">
        <v>107147000000</v>
      </c>
      <c r="E34" s="13" t="n">
        <v>90488000000</v>
      </c>
      <c r="F34" s="13" t="n">
        <v>65339000000</v>
      </c>
      <c r="G34" s="13" t="n">
        <v>63090000000</v>
      </c>
      <c r="H34" s="13" t="n">
        <v>50672000000</v>
      </c>
      <c r="I34" s="13" t="n">
        <v>62146000000</v>
      </c>
      <c r="J34" s="13" t="n">
        <v>56950000000</v>
      </c>
      <c r="K34" s="13" t="n">
        <v>73733000000</v>
      </c>
    </row>
    <row r="35" ht="20" customHeight="1">
      <c r="A35" s="18" t="inlineStr">
        <is>
          <t xml:space="preserve">    Total Liabilities and Stockholders' Equity</t>
        </is>
      </c>
      <c r="B35" s="19" t="n">
        <v>321686000000</v>
      </c>
      <c r="C35" s="19" t="n">
        <v>375319000000</v>
      </c>
      <c r="D35" s="19" t="n">
        <v>365725000000</v>
      </c>
      <c r="E35" s="19" t="n">
        <v>338516000000</v>
      </c>
      <c r="F35" s="19" t="n">
        <v>323888000000</v>
      </c>
      <c r="G35" s="19" t="n">
        <v>351002000000</v>
      </c>
      <c r="H35" s="19" t="n">
        <v>352755000000</v>
      </c>
      <c r="I35" s="19" t="n">
        <v>352583000000</v>
      </c>
      <c r="J35" s="19" t="n">
        <v>364980000000</v>
      </c>
      <c r="K35" s="19" t="n">
        <v>359241000000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AAPL — CONSOLIDATED STATEMENTS OF CASH FLOWS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2016</v>
      </c>
      <c r="C3" s="4" t="n">
        <v>2017</v>
      </c>
      <c r="D3" s="4" t="n">
        <v>2018</v>
      </c>
      <c r="E3" s="4" t="n">
        <v>2019</v>
      </c>
      <c r="F3" s="4" t="n">
        <v>2020</v>
      </c>
      <c r="G3" s="4" t="n">
        <v>2021</v>
      </c>
      <c r="H3" s="4" t="n">
        <v>2022</v>
      </c>
      <c r="I3" s="4" t="n">
        <v>2023</v>
      </c>
      <c r="J3" s="4" t="n">
        <v>2024</v>
      </c>
      <c r="K3" s="4" t="n">
        <v>2025</v>
      </c>
    </row>
    <row r="4" ht="20" customHeight="1">
      <c r="A4" s="5" t="inlineStr">
        <is>
          <t>OPERATING ACTIVITIES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10" t="inlineStr">
        <is>
          <t xml:space="preserve">    Net Income</t>
        </is>
      </c>
      <c r="B5" s="11" t="n">
        <v>45687000000</v>
      </c>
      <c r="C5" s="11" t="n">
        <v>48351000000</v>
      </c>
      <c r="D5" s="11" t="n">
        <v>59531000000</v>
      </c>
      <c r="E5" s="11" t="n">
        <v>55256000000</v>
      </c>
      <c r="F5" s="11" t="n">
        <v>57411000000</v>
      </c>
      <c r="G5" s="11" t="n">
        <v>94680000000</v>
      </c>
      <c r="H5" s="11" t="n">
        <v>99803000000</v>
      </c>
      <c r="I5" s="11" t="n">
        <v>96995000000</v>
      </c>
      <c r="J5" s="11" t="n">
        <v>93736000000</v>
      </c>
      <c r="K5" s="11" t="n">
        <v>112010000000</v>
      </c>
    </row>
    <row r="6" ht="20" customHeight="1">
      <c r="A6" s="8" t="inlineStr">
        <is>
          <t xml:space="preserve">    Depreciation and Amortization</t>
        </is>
      </c>
      <c r="B6" s="9" t="n">
        <v>10505000000</v>
      </c>
      <c r="C6" s="9" t="n">
        <v>10157000000</v>
      </c>
      <c r="D6" s="9" t="n">
        <v>10903000000</v>
      </c>
      <c r="E6" s="9" t="n">
        <v>12547000000</v>
      </c>
      <c r="F6" s="9" t="n">
        <v>11056000000</v>
      </c>
      <c r="G6" s="9" t="n">
        <v>11284000000</v>
      </c>
      <c r="H6" s="9" t="n">
        <v>11104000000</v>
      </c>
      <c r="I6" s="9" t="n">
        <v>11519000000</v>
      </c>
      <c r="J6" s="9" t="n">
        <v>11520000000</v>
      </c>
      <c r="K6" s="9" t="n">
        <v>11950000000</v>
      </c>
    </row>
    <row r="7" ht="20" customHeight="1">
      <c r="A7" s="10" t="inlineStr">
        <is>
          <t xml:space="preserve">    Share-Based Compensation</t>
        </is>
      </c>
      <c r="B7" s="11" t="n">
        <v>4210000000</v>
      </c>
      <c r="C7" s="11" t="n">
        <v>4840000000</v>
      </c>
      <c r="D7" s="11" t="n">
        <v>5340000000</v>
      </c>
      <c r="E7" s="11" t="n">
        <v>6068000000</v>
      </c>
      <c r="F7" s="11" t="n">
        <v>6829000000</v>
      </c>
      <c r="G7" s="11" t="n">
        <v>7906000000</v>
      </c>
      <c r="H7" s="11" t="n">
        <v>9038000000</v>
      </c>
      <c r="I7" s="11" t="n">
        <v>10833000000</v>
      </c>
      <c r="J7" s="11" t="n">
        <v>11640000000</v>
      </c>
      <c r="K7" s="11" t="n">
        <v>12800000000</v>
      </c>
    </row>
    <row r="8" ht="20" customHeight="1">
      <c r="A8" s="8" t="inlineStr">
        <is>
          <t xml:space="preserve">    Deferred Income Taxes</t>
        </is>
      </c>
      <c r="B8" s="9" t="n">
        <v>4938000000</v>
      </c>
      <c r="C8" s="9" t="n">
        <v>5966000000</v>
      </c>
      <c r="D8" s="9" t="n">
        <v>-32590000000</v>
      </c>
      <c r="E8" s="9" t="n">
        <v>-340000000</v>
      </c>
      <c r="F8" s="9" t="n">
        <v>-215000000</v>
      </c>
      <c r="G8" s="9" t="n">
        <v>-4774000000</v>
      </c>
      <c r="H8" s="9" t="n">
        <v>895000000</v>
      </c>
      <c r="I8" s="9" t="n">
        <v>-222000000</v>
      </c>
      <c r="J8" s="9" t="n">
        <v>-1071000000</v>
      </c>
      <c r="K8" s="9" t="n">
        <v>-1850000000</v>
      </c>
    </row>
    <row r="9" ht="20" customHeight="1">
      <c r="A9" s="10" t="inlineStr">
        <is>
          <t xml:space="preserve">    Change in Accounts Receivable</t>
        </is>
      </c>
      <c r="B9" s="11" t="n">
        <v>527000000</v>
      </c>
      <c r="C9" s="11" t="n">
        <v>-2093000000</v>
      </c>
      <c r="D9" s="11" t="n">
        <v>-5322000000</v>
      </c>
      <c r="E9" s="11" t="n">
        <v>245000000</v>
      </c>
      <c r="F9" s="11" t="n">
        <v>6917000000</v>
      </c>
      <c r="G9" s="11" t="n">
        <v>-10125000000</v>
      </c>
      <c r="H9" s="11" t="n">
        <v>-1823000000</v>
      </c>
      <c r="I9" s="11" t="n">
        <v>-1688000000</v>
      </c>
      <c r="J9" s="11" t="n">
        <v>-3900000000</v>
      </c>
      <c r="K9" s="11" t="n">
        <v>-4200000000</v>
      </c>
    </row>
    <row r="10" ht="20" customHeight="1">
      <c r="A10" s="8" t="inlineStr">
        <is>
          <t xml:space="preserve">    Change in Inventories</t>
        </is>
      </c>
      <c r="B10" s="9" t="n">
        <v>217000000</v>
      </c>
      <c r="C10" s="9" t="n">
        <v>-2723000000</v>
      </c>
      <c r="D10" s="9" t="n">
        <v>828000000</v>
      </c>
      <c r="E10" s="9" t="n">
        <v>-289000000</v>
      </c>
      <c r="F10" s="9" t="n">
        <v>-127000000</v>
      </c>
      <c r="G10" s="9" t="n">
        <v>-2642000000</v>
      </c>
      <c r="H10" s="9" t="n">
        <v>1484000000</v>
      </c>
      <c r="I10" s="9" t="n">
        <v>-1618000000</v>
      </c>
      <c r="J10" s="9" t="n">
        <v>-955000000</v>
      </c>
      <c r="K10" s="9" t="n">
        <v>613000000</v>
      </c>
    </row>
    <row r="11" ht="20" customHeight="1">
      <c r="A11" s="10" t="inlineStr">
        <is>
          <t xml:space="preserve">    Change in Accounts Payable</t>
        </is>
      </c>
      <c r="B11" s="11" t="n">
        <v>2172000000</v>
      </c>
      <c r="C11" s="11" t="n">
        <v>8966000000</v>
      </c>
      <c r="D11" s="11" t="n">
        <v>9175000000</v>
      </c>
      <c r="E11" s="11" t="n">
        <v>-1923000000</v>
      </c>
      <c r="F11" s="11" t="n">
        <v>-4062000000</v>
      </c>
      <c r="G11" s="11" t="n">
        <v>12326000000</v>
      </c>
      <c r="H11" s="11" t="n">
        <v>9448000000</v>
      </c>
      <c r="I11" s="11" t="n">
        <v>-1886000000</v>
      </c>
      <c r="J11" s="11" t="n">
        <v>6350000000</v>
      </c>
      <c r="K11" s="11" t="n">
        <v>5200000000</v>
      </c>
    </row>
    <row r="12" ht="20" customHeight="1">
      <c r="A12" s="12" t="inlineStr">
        <is>
          <t xml:space="preserve">    Net Cash Provided by Operating Activities</t>
        </is>
      </c>
      <c r="B12" s="13" t="n">
        <v>65824000000</v>
      </c>
      <c r="C12" s="13" t="n">
        <v>63598000000</v>
      </c>
      <c r="D12" s="13" t="n">
        <v>77434000000</v>
      </c>
      <c r="E12" s="13" t="n">
        <v>69391000000</v>
      </c>
      <c r="F12" s="13" t="n">
        <v>80674000000</v>
      </c>
      <c r="G12" s="13" t="n">
        <v>104038000000</v>
      </c>
      <c r="H12" s="13" t="n">
        <v>122151000000</v>
      </c>
      <c r="I12" s="13" t="n">
        <v>110543000000</v>
      </c>
      <c r="J12" s="13" t="n">
        <v>118260000000</v>
      </c>
      <c r="K12" s="13" t="n">
        <v>111482000000</v>
      </c>
    </row>
    <row r="13" ht="20" customHeight="1">
      <c r="A13" s="5" t="inlineStr">
        <is>
          <t>INVESTING ACTIVITIES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8" t="inlineStr">
        <is>
          <t xml:space="preserve">    Capital Expenditures (Property, Plant and Equipment)</t>
        </is>
      </c>
      <c r="B14" s="9" t="n">
        <v>-12734000000</v>
      </c>
      <c r="C14" s="9" t="n">
        <v>-12451000000</v>
      </c>
      <c r="D14" s="9" t="n">
        <v>-13313000000</v>
      </c>
      <c r="E14" s="9" t="n">
        <v>-10495000000</v>
      </c>
      <c r="F14" s="9" t="n">
        <v>-7309000000</v>
      </c>
      <c r="G14" s="9" t="n">
        <v>-11085000000</v>
      </c>
      <c r="H14" s="9" t="n">
        <v>-10708000000</v>
      </c>
      <c r="I14" s="9" t="n">
        <v>-10959000000</v>
      </c>
      <c r="J14" s="9" t="n">
        <v>-9447000000</v>
      </c>
      <c r="K14" s="9" t="n">
        <v>-12715000000</v>
      </c>
    </row>
    <row r="15" ht="20" customHeight="1">
      <c r="A15" s="10" t="inlineStr">
        <is>
          <t xml:space="preserve">    Purchases of Marketable Securities</t>
        </is>
      </c>
      <c r="B15" s="11" t="n">
        <v>-142428000000</v>
      </c>
      <c r="C15" s="11" t="n">
        <v>-159486000000</v>
      </c>
      <c r="D15" s="11" t="n">
        <v>-71356000000</v>
      </c>
      <c r="E15" s="11" t="n">
        <v>-39630000000</v>
      </c>
      <c r="F15" s="11" t="n">
        <v>-114938000000</v>
      </c>
      <c r="G15" s="11" t="n">
        <v>-109558000000</v>
      </c>
      <c r="H15" s="11" t="n">
        <v>-76923000000</v>
      </c>
      <c r="I15" s="11" t="n">
        <v>-29514000000</v>
      </c>
      <c r="J15" s="11" t="n">
        <v>-48660000000</v>
      </c>
      <c r="K15" s="11" t="n">
        <v>-38500000000</v>
      </c>
    </row>
    <row r="16" ht="20" customHeight="1">
      <c r="A16" s="8" t="inlineStr">
        <is>
          <t xml:space="preserve">    Proceeds from Sales/Maturities of Marketable Securities</t>
        </is>
      </c>
      <c r="B16" s="9" t="n">
        <v>119937000000</v>
      </c>
      <c r="C16" s="9" t="n">
        <v>146194000000</v>
      </c>
      <c r="D16" s="9" t="n">
        <v>88206000000</v>
      </c>
      <c r="E16" s="9" t="n">
        <v>98724000000</v>
      </c>
      <c r="F16" s="9" t="n">
        <v>120541000000</v>
      </c>
      <c r="G16" s="9" t="n">
        <v>106877000000</v>
      </c>
      <c r="H16" s="9" t="n">
        <v>98844000000</v>
      </c>
      <c r="I16" s="9" t="n">
        <v>43900000000</v>
      </c>
      <c r="J16" s="9" t="n">
        <v>61760000000</v>
      </c>
      <c r="K16" s="9" t="n">
        <v>56200000000</v>
      </c>
    </row>
    <row r="17" ht="20" customHeight="1">
      <c r="A17" s="10" t="inlineStr">
        <is>
          <t xml:space="preserve">    Payments for Business Acquisitions, Net</t>
        </is>
      </c>
      <c r="B17" s="11" t="n">
        <v>-297000000</v>
      </c>
      <c r="C17" s="11" t="n">
        <v>-329000000</v>
      </c>
      <c r="D17" s="11" t="n">
        <v>-721000000</v>
      </c>
      <c r="E17" s="11" t="n">
        <v>-624000000</v>
      </c>
      <c r="F17" s="11" t="n">
        <v>-1524000000</v>
      </c>
      <c r="G17" s="11" t="n">
        <v>-33000000</v>
      </c>
      <c r="H17" s="11" t="n">
        <v>-306000000</v>
      </c>
      <c r="I17" s="11" t="n">
        <v>0</v>
      </c>
      <c r="J17" s="11" t="n">
        <v>0</v>
      </c>
      <c r="K17" s="11" t="n">
        <v>0</v>
      </c>
    </row>
    <row r="18" ht="20" customHeight="1">
      <c r="A18" s="12" t="inlineStr">
        <is>
          <t xml:space="preserve">    Net Cash Used in Investing Activities</t>
        </is>
      </c>
      <c r="B18" s="13" t="n">
        <v>-45977000000</v>
      </c>
      <c r="C18" s="13" t="n">
        <v>-46446000000</v>
      </c>
      <c r="D18" s="13" t="n">
        <v>16066000000</v>
      </c>
      <c r="E18" s="13" t="n">
        <v>45896000000</v>
      </c>
      <c r="F18" s="13" t="n">
        <v>-4289000000</v>
      </c>
      <c r="G18" s="13" t="n">
        <v>-14545000000</v>
      </c>
      <c r="H18" s="13" t="n">
        <v>-22354000000</v>
      </c>
      <c r="I18" s="13" t="n">
        <v>3705000000</v>
      </c>
      <c r="J18" s="13" t="n">
        <v>2490000000</v>
      </c>
      <c r="K18" s="13" t="n">
        <v>4985000000</v>
      </c>
    </row>
    <row r="19" ht="20" customHeight="1">
      <c r="A19" s="5" t="inlineStr">
        <is>
          <t>FINANCING ACTIVITIES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8" t="inlineStr">
        <is>
          <t xml:space="preserve">    Repurchases of Common Stock</t>
        </is>
      </c>
      <c r="B20" s="9" t="n">
        <v>-29722000000</v>
      </c>
      <c r="C20" s="9" t="n">
        <v>-32900000000</v>
      </c>
      <c r="D20" s="9" t="n">
        <v>-72738000000</v>
      </c>
      <c r="E20" s="9" t="n">
        <v>-66897000000</v>
      </c>
      <c r="F20" s="9" t="n">
        <v>-72358000000</v>
      </c>
      <c r="G20" s="9" t="n">
        <v>-85971000000</v>
      </c>
      <c r="H20" s="9" t="n">
        <v>-89402000000</v>
      </c>
      <c r="I20" s="9" t="n">
        <v>-77550000000</v>
      </c>
      <c r="J20" s="9" t="n">
        <v>-94949000000</v>
      </c>
      <c r="K20" s="9" t="n">
        <v>-90711000000</v>
      </c>
    </row>
    <row r="21" ht="20" customHeight="1">
      <c r="A21" s="10" t="inlineStr">
        <is>
          <t xml:space="preserve">    Dividends Paid</t>
        </is>
      </c>
      <c r="B21" s="11" t="n">
        <v>-12150000000</v>
      </c>
      <c r="C21" s="11" t="n">
        <v>-12769000000</v>
      </c>
      <c r="D21" s="11" t="n">
        <v>-13712000000</v>
      </c>
      <c r="E21" s="11" t="n">
        <v>-14119000000</v>
      </c>
      <c r="F21" s="11" t="n">
        <v>-14081000000</v>
      </c>
      <c r="G21" s="11" t="n">
        <v>-14467000000</v>
      </c>
      <c r="H21" s="11" t="n">
        <v>-14841000000</v>
      </c>
      <c r="I21" s="11" t="n">
        <v>-15025000000</v>
      </c>
      <c r="J21" s="11" t="n">
        <v>-15234000000</v>
      </c>
      <c r="K21" s="11" t="n">
        <v>-15421000000</v>
      </c>
    </row>
    <row r="22" ht="20" customHeight="1">
      <c r="A22" s="8" t="inlineStr">
        <is>
          <t xml:space="preserve">    Proceeds from Issuance of Common Stock</t>
        </is>
      </c>
      <c r="B22" s="9" t="n">
        <v>495000000</v>
      </c>
      <c r="C22" s="9" t="n">
        <v>555000000</v>
      </c>
      <c r="D22" s="9" t="n">
        <v>569000000</v>
      </c>
      <c r="E22" s="9" t="n">
        <v>781000000</v>
      </c>
      <c r="F22" s="9" t="n">
        <v>880000000</v>
      </c>
      <c r="G22" s="9" t="n">
        <v>1105000000</v>
      </c>
      <c r="H22" s="9" t="n">
        <v>1210000000</v>
      </c>
      <c r="I22" s="9" t="n">
        <v>1285000000</v>
      </c>
      <c r="J22" s="9" t="n">
        <v>1340000000</v>
      </c>
      <c r="K22" s="9" t="n">
        <v>1420000000</v>
      </c>
    </row>
    <row r="23" ht="20" customHeight="1">
      <c r="A23" s="10" t="inlineStr">
        <is>
          <t xml:space="preserve">    Proceeds from Issuance of Long-Term Debt</t>
        </is>
      </c>
      <c r="B23" s="11" t="n">
        <v>24954000000</v>
      </c>
      <c r="C23" s="11" t="n">
        <v>28662000000</v>
      </c>
      <c r="D23" s="11" t="n">
        <v>6969000000</v>
      </c>
      <c r="E23" s="11" t="n">
        <v>6963000000</v>
      </c>
      <c r="F23" s="11" t="n">
        <v>16091000000</v>
      </c>
      <c r="G23" s="11" t="n">
        <v>20393000000</v>
      </c>
      <c r="H23" s="11" t="n">
        <v>5465000000</v>
      </c>
      <c r="I23" s="11" t="n">
        <v>5228000000</v>
      </c>
      <c r="J23" s="11" t="n">
        <v>4800000000</v>
      </c>
      <c r="K23" s="11" t="n">
        <v>5200000000</v>
      </c>
    </row>
    <row r="24" ht="20" customHeight="1">
      <c r="A24" s="8" t="inlineStr">
        <is>
          <t xml:space="preserve">    Repayments of Long-Term Debt</t>
        </is>
      </c>
      <c r="B24" s="9" t="n">
        <v>-2500000000</v>
      </c>
      <c r="C24" s="9" t="n">
        <v>-3500000000</v>
      </c>
      <c r="D24" s="9" t="n">
        <v>-6500000000</v>
      </c>
      <c r="E24" s="9" t="n">
        <v>-8805000000</v>
      </c>
      <c r="F24" s="9" t="n">
        <v>-12629000000</v>
      </c>
      <c r="G24" s="9" t="n">
        <v>-11135000000</v>
      </c>
      <c r="H24" s="9" t="n">
        <v>-9543000000</v>
      </c>
      <c r="I24" s="9" t="n">
        <v>-11151000000</v>
      </c>
      <c r="J24" s="9" t="n">
        <v>-10800000000</v>
      </c>
      <c r="K24" s="9" t="n">
        <v>-11250000000</v>
      </c>
    </row>
    <row r="25" ht="20" customHeight="1">
      <c r="A25" s="6" t="inlineStr">
        <is>
          <t xml:space="preserve">    Net Cash Used in Financing Activities</t>
        </is>
      </c>
      <c r="B25" s="7" t="n">
        <v>-20483000000</v>
      </c>
      <c r="C25" s="7" t="n">
        <v>-17347000000</v>
      </c>
      <c r="D25" s="7" t="n">
        <v>-86820000000</v>
      </c>
      <c r="E25" s="7" t="n">
        <v>-90976000000</v>
      </c>
      <c r="F25" s="7" t="n">
        <v>-86896000000</v>
      </c>
      <c r="G25" s="7" t="n">
        <v>-93353000000</v>
      </c>
      <c r="H25" s="7" t="n">
        <v>-110749000000</v>
      </c>
      <c r="I25" s="7" t="n">
        <v>-108488000000</v>
      </c>
      <c r="J25" s="7" t="n">
        <v>-120220000000</v>
      </c>
      <c r="K25" s="7" t="n">
        <v>-110762000000</v>
      </c>
    </row>
    <row r="26" ht="20" customHeight="1">
      <c r="A26" s="5" t="inlineStr">
        <is>
          <t>NET CHANGE IN CASH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0" customHeight="1">
      <c r="A27" s="6" t="inlineStr">
        <is>
          <t xml:space="preserve">    Net Increase / (Decrease) in Cash and Cash Equivalents</t>
        </is>
      </c>
      <c r="B27" s="7" t="n">
        <v>-636000000</v>
      </c>
      <c r="C27" s="7" t="n">
        <v>-195000000</v>
      </c>
      <c r="D27" s="7" t="n">
        <v>6680000000</v>
      </c>
      <c r="E27" s="7" t="n">
        <v>24311000000</v>
      </c>
      <c r="F27" s="7" t="n">
        <v>-10433000000</v>
      </c>
      <c r="G27" s="7" t="n">
        <v>-3860000000</v>
      </c>
      <c r="H27" s="7" t="n">
        <v>-10952000000</v>
      </c>
      <c r="I27" s="7" t="n">
        <v>5760000000</v>
      </c>
      <c r="J27" s="7" t="n">
        <v>530000000</v>
      </c>
      <c r="K27" s="7" t="n">
        <v>5705000000</v>
      </c>
    </row>
    <row r="28" ht="20" customHeight="1">
      <c r="A28" s="8" t="inlineStr">
        <is>
          <t xml:space="preserve">    Cash and Cash Equivalents at Beginning of Period</t>
        </is>
      </c>
      <c r="B28" s="9" t="n">
        <v>21120000000</v>
      </c>
      <c r="C28" s="9" t="n">
        <v>20484000000</v>
      </c>
      <c r="D28" s="9" t="n">
        <v>20289000000</v>
      </c>
      <c r="E28" s="9" t="n">
        <v>25913000000</v>
      </c>
      <c r="F28" s="9" t="n">
        <v>50224000000</v>
      </c>
      <c r="G28" s="9" t="n">
        <v>39789000000</v>
      </c>
      <c r="H28" s="9" t="n">
        <v>35929000000</v>
      </c>
      <c r="I28" s="9" t="n">
        <v>24977000000</v>
      </c>
      <c r="J28" s="9" t="n">
        <v>30737000000</v>
      </c>
      <c r="K28" s="9" t="n">
        <v>31267000000</v>
      </c>
    </row>
    <row r="29" ht="20" customHeight="1">
      <c r="A29" s="18" t="inlineStr">
        <is>
          <t xml:space="preserve">    Cash and Cash Equivalents at End of Period</t>
        </is>
      </c>
      <c r="B29" s="19" t="n">
        <v>20484000000</v>
      </c>
      <c r="C29" s="19" t="n">
        <v>20289000000</v>
      </c>
      <c r="D29" s="19" t="n">
        <v>26969000000</v>
      </c>
      <c r="E29" s="19" t="n">
        <v>50224000000</v>
      </c>
      <c r="F29" s="19" t="n">
        <v>39789000000</v>
      </c>
      <c r="G29" s="19" t="n">
        <v>35929000000</v>
      </c>
      <c r="H29" s="19" t="n">
        <v>24977000000</v>
      </c>
      <c r="I29" s="19" t="n">
        <v>30737000000</v>
      </c>
      <c r="J29" s="19" t="n">
        <v>31267000000</v>
      </c>
      <c r="K29" s="19" t="n">
        <v>36972000000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AAPL — LOUGHRAN-MCDONALD FINANCIAL SENTIMENT ANALYSIS</t>
        </is>
      </c>
    </row>
    <row r="2">
      <c r="A2" s="2" t="inlineStr">
        <is>
          <t>Item 7 (MD&amp;A) Natural Language Processing — Loughran-McDonald Lexicon (2011)</t>
        </is>
      </c>
    </row>
    <row r="3" ht="24" customHeight="1">
      <c r="A3" s="20" t="inlineStr">
        <is>
          <t>Fiscal Year</t>
        </is>
      </c>
      <c r="B3" s="20" t="inlineStr">
        <is>
          <t>Total Words</t>
        </is>
      </c>
      <c r="C3" s="20" t="inlineStr">
        <is>
          <t>Positive Count</t>
        </is>
      </c>
      <c r="D3" s="20" t="inlineStr">
        <is>
          <t>Negative Count</t>
        </is>
      </c>
      <c r="E3" s="20" t="inlineStr">
        <is>
          <t>Net Score</t>
        </is>
      </c>
      <c r="F3" s="20" t="inlineStr">
        <is>
          <t>P/N Ratio</t>
        </is>
      </c>
      <c r="G3" s="20" t="inlineStr">
        <is>
          <t>Net Sentiment %</t>
        </is>
      </c>
      <c r="H3" s="20" t="inlineStr">
        <is>
          <t>Uncertainty Count</t>
        </is>
      </c>
      <c r="I3" s="20" t="inlineStr">
        <is>
          <t>Litigious Count</t>
        </is>
      </c>
      <c r="J3" s="20" t="inlineStr">
        <is>
          <t>Strong Modal</t>
        </is>
      </c>
      <c r="K3" s="20" t="inlineStr">
        <is>
          <t>Weak Modal</t>
        </is>
      </c>
      <c r="L3" s="20" t="inlineStr">
        <is>
          <t>Tone Classification</t>
        </is>
      </c>
    </row>
    <row r="4" ht="20" customHeight="1">
      <c r="A4" s="21" t="n">
        <v>2016</v>
      </c>
      <c r="B4" s="22" t="n">
        <v>5068</v>
      </c>
      <c r="C4" s="22" t="n">
        <v>132</v>
      </c>
      <c r="D4" s="22" t="n">
        <v>176</v>
      </c>
      <c r="E4" s="22" t="n">
        <v>-44</v>
      </c>
      <c r="F4" s="23" t="n">
        <v>0.75</v>
      </c>
      <c r="G4" s="24" t="n">
        <v>-0.008682</v>
      </c>
      <c r="H4" s="22" t="n">
        <v>126</v>
      </c>
      <c r="I4" s="22" t="n">
        <v>53</v>
      </c>
      <c r="J4" s="22" t="n">
        <v>22</v>
      </c>
      <c r="K4" s="22" t="n">
        <v>24</v>
      </c>
      <c r="L4" s="25" t="inlineStr">
        <is>
          <t>Cautious / Negative</t>
        </is>
      </c>
    </row>
    <row r="5" ht="20" customHeight="1">
      <c r="A5" s="26" t="n">
        <v>2017</v>
      </c>
      <c r="B5" s="27" t="n">
        <v>5234</v>
      </c>
      <c r="C5" s="27" t="n">
        <v>120</v>
      </c>
      <c r="D5" s="27" t="n">
        <v>179</v>
      </c>
      <c r="E5" s="27" t="n">
        <v>-59</v>
      </c>
      <c r="F5" s="28" t="n">
        <v>0.6704</v>
      </c>
      <c r="G5" s="29" t="n">
        <v>-0.011272</v>
      </c>
      <c r="H5" s="27" t="n">
        <v>130</v>
      </c>
      <c r="I5" s="27" t="n">
        <v>50</v>
      </c>
      <c r="J5" s="27" t="n">
        <v>29</v>
      </c>
      <c r="K5" s="27" t="n">
        <v>29</v>
      </c>
      <c r="L5" s="25" t="inlineStr">
        <is>
          <t>Cautious / Negative</t>
        </is>
      </c>
    </row>
    <row r="6" ht="20" customHeight="1">
      <c r="A6" s="21" t="n">
        <v>2018</v>
      </c>
      <c r="B6" s="22" t="n">
        <v>5031</v>
      </c>
      <c r="C6" s="22" t="n">
        <v>127</v>
      </c>
      <c r="D6" s="22" t="n">
        <v>142</v>
      </c>
      <c r="E6" s="22" t="n">
        <v>-15</v>
      </c>
      <c r="F6" s="23" t="n">
        <v>0.8944</v>
      </c>
      <c r="G6" s="24" t="n">
        <v>-0.002982</v>
      </c>
      <c r="H6" s="22" t="n">
        <v>120</v>
      </c>
      <c r="I6" s="22" t="n">
        <v>54</v>
      </c>
      <c r="J6" s="22" t="n">
        <v>25</v>
      </c>
      <c r="K6" s="22" t="n">
        <v>32</v>
      </c>
      <c r="L6" s="25" t="inlineStr">
        <is>
          <t>Cautious / Negative</t>
        </is>
      </c>
    </row>
    <row r="7" ht="20" customHeight="1">
      <c r="A7" s="26" t="n">
        <v>2019</v>
      </c>
      <c r="B7" s="27" t="n">
        <v>2962</v>
      </c>
      <c r="C7" s="27" t="n">
        <v>57</v>
      </c>
      <c r="D7" s="27" t="n">
        <v>92</v>
      </c>
      <c r="E7" s="27" t="n">
        <v>-35</v>
      </c>
      <c r="F7" s="28" t="n">
        <v>0.6196</v>
      </c>
      <c r="G7" s="29" t="n">
        <v>-0.011816</v>
      </c>
      <c r="H7" s="27" t="n">
        <v>64</v>
      </c>
      <c r="I7" s="27" t="n">
        <v>32</v>
      </c>
      <c r="J7" s="27" t="n">
        <v>10</v>
      </c>
      <c r="K7" s="27" t="n">
        <v>14</v>
      </c>
      <c r="L7" s="25" t="inlineStr">
        <is>
          <t>Cautious / Negative</t>
        </is>
      </c>
    </row>
    <row r="8" ht="20" customHeight="1">
      <c r="A8" s="21" t="n">
        <v>2020</v>
      </c>
      <c r="B8" s="22" t="n">
        <v>2784</v>
      </c>
      <c r="C8" s="22" t="n">
        <v>51</v>
      </c>
      <c r="D8" s="22" t="n">
        <v>96</v>
      </c>
      <c r="E8" s="22" t="n">
        <v>-45</v>
      </c>
      <c r="F8" s="23" t="n">
        <v>0.5312</v>
      </c>
      <c r="G8" s="24" t="n">
        <v>-0.016164</v>
      </c>
      <c r="H8" s="22" t="n">
        <v>61</v>
      </c>
      <c r="I8" s="22" t="n">
        <v>26</v>
      </c>
      <c r="J8" s="22" t="n">
        <v>10</v>
      </c>
      <c r="K8" s="22" t="n">
        <v>13</v>
      </c>
      <c r="L8" s="25" t="inlineStr">
        <is>
          <t>Cautious / Negative</t>
        </is>
      </c>
    </row>
    <row r="9" ht="20" customHeight="1">
      <c r="A9" s="26" t="n">
        <v>2021</v>
      </c>
      <c r="B9" s="27" t="n">
        <v>1626</v>
      </c>
      <c r="C9" s="27" t="n">
        <v>49</v>
      </c>
      <c r="D9" s="27" t="n">
        <v>31</v>
      </c>
      <c r="E9" s="27" t="n">
        <v>18</v>
      </c>
      <c r="F9" s="28" t="n">
        <v>1.5806</v>
      </c>
      <c r="G9" s="29" t="n">
        <v>0.01107</v>
      </c>
      <c r="H9" s="27" t="n">
        <v>32</v>
      </c>
      <c r="I9" s="27" t="n">
        <v>14</v>
      </c>
      <c r="J9" s="27" t="n">
        <v>5</v>
      </c>
      <c r="K9" s="27" t="n">
        <v>1</v>
      </c>
      <c r="L9" s="30" t="inlineStr">
        <is>
          <t>Positive</t>
        </is>
      </c>
    </row>
    <row r="10" ht="20" customHeight="1">
      <c r="A10" s="21" t="n">
        <v>2022</v>
      </c>
      <c r="B10" s="22" t="n">
        <v>1542</v>
      </c>
      <c r="C10" s="22" t="n">
        <v>39</v>
      </c>
      <c r="D10" s="22" t="n">
        <v>43</v>
      </c>
      <c r="E10" s="22" t="n">
        <v>-4</v>
      </c>
      <c r="F10" s="23" t="n">
        <v>0.907</v>
      </c>
      <c r="G10" s="24" t="n">
        <v>-0.002594</v>
      </c>
      <c r="H10" s="22" t="n">
        <v>24</v>
      </c>
      <c r="I10" s="22" t="n">
        <v>13</v>
      </c>
      <c r="J10" s="22" t="n">
        <v>3</v>
      </c>
      <c r="K10" s="22" t="n">
        <v>1</v>
      </c>
      <c r="L10" s="25" t="inlineStr">
        <is>
          <t>Cautious / Negative</t>
        </is>
      </c>
    </row>
    <row r="11" ht="20" customHeight="1">
      <c r="A11" s="26" t="n">
        <v>2023</v>
      </c>
      <c r="B11" s="27" t="n">
        <v>1358</v>
      </c>
      <c r="C11" s="27" t="n">
        <v>24</v>
      </c>
      <c r="D11" s="27" t="n">
        <v>46</v>
      </c>
      <c r="E11" s="27" t="n">
        <v>-22</v>
      </c>
      <c r="F11" s="28" t="n">
        <v>0.5217000000000001</v>
      </c>
      <c r="G11" s="29" t="n">
        <v>-0.0162</v>
      </c>
      <c r="H11" s="27" t="n">
        <v>23</v>
      </c>
      <c r="I11" s="27" t="n">
        <v>12</v>
      </c>
      <c r="J11" s="27" t="n">
        <v>3</v>
      </c>
      <c r="K11" s="27" t="n">
        <v>2</v>
      </c>
      <c r="L11" s="25" t="inlineStr">
        <is>
          <t>Cautious / Negative</t>
        </is>
      </c>
    </row>
    <row r="12" ht="20" customHeight="1">
      <c r="A12" s="21" t="n">
        <v>2024</v>
      </c>
      <c r="B12" s="22" t="n">
        <v>1338</v>
      </c>
      <c r="C12" s="22" t="n">
        <v>26</v>
      </c>
      <c r="D12" s="22" t="n">
        <v>34</v>
      </c>
      <c r="E12" s="22" t="n">
        <v>-8</v>
      </c>
      <c r="F12" s="23" t="n">
        <v>0.7647</v>
      </c>
      <c r="G12" s="24" t="n">
        <v>-0.005979</v>
      </c>
      <c r="H12" s="22" t="n">
        <v>23</v>
      </c>
      <c r="I12" s="22" t="n">
        <v>13</v>
      </c>
      <c r="J12" s="22" t="n">
        <v>9</v>
      </c>
      <c r="K12" s="22" t="n">
        <v>2</v>
      </c>
      <c r="L12" s="25" t="inlineStr">
        <is>
          <t>Cautious / Negative</t>
        </is>
      </c>
    </row>
    <row r="13" ht="20" customHeight="1">
      <c r="A13" s="26" t="n">
        <v>2025</v>
      </c>
      <c r="B13" s="27" t="n">
        <v>1569</v>
      </c>
      <c r="C13" s="27" t="n">
        <v>32</v>
      </c>
      <c r="D13" s="27" t="n">
        <v>37</v>
      </c>
      <c r="E13" s="27" t="n">
        <v>-5</v>
      </c>
      <c r="F13" s="28" t="n">
        <v>0.8649</v>
      </c>
      <c r="G13" s="29" t="n">
        <v>-0.003187</v>
      </c>
      <c r="H13" s="27" t="n">
        <v>29</v>
      </c>
      <c r="I13" s="27" t="n">
        <v>13</v>
      </c>
      <c r="J13" s="27" t="n">
        <v>12</v>
      </c>
      <c r="K13" s="27" t="n">
        <v>3</v>
      </c>
      <c r="L13" s="25" t="inlineStr">
        <is>
          <t>Cautious / Negative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AAPL — HISTORICAL BALANCE SHEET DATE STOCK PRICES</t>
        </is>
      </c>
    </row>
    <row r="2">
      <c r="A2" s="2" t="inlineStr">
        <is>
          <t>Closing stock prices retrieved on each fiscal balance sheet date (or closest prior trading day) — Source: Yahoo Finance</t>
        </is>
      </c>
    </row>
    <row r="3" ht="24" customHeight="1">
      <c r="A3" s="20" t="inlineStr">
        <is>
          <t>Fiscal Year</t>
        </is>
      </c>
      <c r="B3" s="20" t="inlineStr">
        <is>
          <t>Balance Sheet Date</t>
        </is>
      </c>
      <c r="C3" s="20" t="inlineStr">
        <is>
          <t>Actual Trading Date</t>
        </is>
      </c>
      <c r="D3" s="20" t="inlineStr">
        <is>
          <t>Closing Price ($)</t>
        </is>
      </c>
      <c r="E3" s="20" t="inlineStr">
        <is>
          <t>Adjusted Close ($)</t>
        </is>
      </c>
      <c r="F3" s="20" t="inlineStr">
        <is>
          <t>Trading Volume</t>
        </is>
      </c>
      <c r="G3" s="20" t="inlineStr">
        <is>
          <t>YoY Change ($)</t>
        </is>
      </c>
      <c r="H3" s="20" t="inlineStr">
        <is>
          <t>YoY % Return</t>
        </is>
      </c>
    </row>
    <row r="4" ht="20" customHeight="1">
      <c r="A4" s="21" t="n">
        <v>2016</v>
      </c>
      <c r="B4" s="21" t="inlineStr">
        <is>
          <t>2016-09-24</t>
        </is>
      </c>
      <c r="C4" s="21" t="inlineStr">
        <is>
          <t>2016-09-23</t>
        </is>
      </c>
      <c r="D4" s="31" t="n">
        <v>28.17749977111816</v>
      </c>
      <c r="E4" s="31" t="n">
        <v>25.7751636505127</v>
      </c>
      <c r="F4" s="22" t="n">
        <v>209924800</v>
      </c>
      <c r="G4" s="32" t="n"/>
      <c r="H4" s="24" t="n"/>
    </row>
    <row r="5" ht="20" customHeight="1">
      <c r="A5" s="26" t="n">
        <v>2017</v>
      </c>
      <c r="B5" s="26" t="inlineStr">
        <is>
          <t>2017-09-30</t>
        </is>
      </c>
      <c r="C5" s="26" t="inlineStr">
        <is>
          <t>2017-09-29</t>
        </is>
      </c>
      <c r="D5" s="33" t="n">
        <v>38.52999877929688</v>
      </c>
      <c r="E5" s="33" t="n">
        <v>35.86673736572266</v>
      </c>
      <c r="F5" s="27" t="n">
        <v>105199200</v>
      </c>
      <c r="G5" s="34" t="n">
        <v>10.35</v>
      </c>
      <c r="H5" s="35" t="n">
        <v>0.3673</v>
      </c>
    </row>
    <row r="6" ht="20" customHeight="1">
      <c r="A6" s="21" t="n">
        <v>2018</v>
      </c>
      <c r="B6" s="21" t="inlineStr">
        <is>
          <t>2018-09-29</t>
        </is>
      </c>
      <c r="C6" s="21" t="inlineStr">
        <is>
          <t>2018-09-28</t>
        </is>
      </c>
      <c r="D6" s="31" t="n">
        <v>56.43500137329102</v>
      </c>
      <c r="E6" s="31" t="n">
        <v>53.32841873168945</v>
      </c>
      <c r="F6" s="22" t="n">
        <v>91717600</v>
      </c>
      <c r="G6" s="32" t="n">
        <v>17.91</v>
      </c>
      <c r="H6" s="35" t="n">
        <v>0.4648</v>
      </c>
    </row>
    <row r="7" ht="20" customHeight="1">
      <c r="A7" s="26" t="n">
        <v>2019</v>
      </c>
      <c r="B7" s="26" t="inlineStr">
        <is>
          <t>2019-09-28</t>
        </is>
      </c>
      <c r="C7" s="26" t="inlineStr">
        <is>
          <t>2019-09-27</t>
        </is>
      </c>
      <c r="D7" s="33" t="n">
        <v>54.70500183105469</v>
      </c>
      <c r="E7" s="33" t="n">
        <v>52.49583053588867</v>
      </c>
      <c r="F7" s="27" t="n">
        <v>101408000</v>
      </c>
      <c r="G7" s="34" t="n">
        <v>-1.73</v>
      </c>
      <c r="H7" s="36" t="n">
        <v>-0.0307</v>
      </c>
    </row>
    <row r="8" ht="20" customHeight="1">
      <c r="A8" s="21" t="n">
        <v>2020</v>
      </c>
      <c r="B8" s="21" t="inlineStr">
        <is>
          <t>2020-09-26</t>
        </is>
      </c>
      <c r="C8" s="21" t="inlineStr">
        <is>
          <t>2020-09-25</t>
        </is>
      </c>
      <c r="D8" s="31" t="n">
        <v>112.2799987792969</v>
      </c>
      <c r="E8" s="31" t="n">
        <v>108.8147811889648</v>
      </c>
      <c r="F8" s="22" t="n">
        <v>149981400</v>
      </c>
      <c r="G8" s="32" t="n">
        <v>57.57</v>
      </c>
      <c r="H8" s="35" t="n">
        <v>1.0524</v>
      </c>
    </row>
    <row r="9" ht="20" customHeight="1">
      <c r="A9" s="26" t="n">
        <v>2021</v>
      </c>
      <c r="B9" s="26" t="inlineStr">
        <is>
          <t>2021-09-25</t>
        </is>
      </c>
      <c r="C9" s="26" t="inlineStr">
        <is>
          <t>2021-09-24</t>
        </is>
      </c>
      <c r="D9" s="33" t="n">
        <v>146.9199981689453</v>
      </c>
      <c r="E9" s="33" t="n">
        <v>143.3015289306641</v>
      </c>
      <c r="F9" s="27" t="n">
        <v>53477900</v>
      </c>
      <c r="G9" s="34" t="n">
        <v>34.64</v>
      </c>
      <c r="H9" s="35" t="n">
        <v>0.3085</v>
      </c>
    </row>
    <row r="10" ht="20" customHeight="1">
      <c r="A10" s="21" t="n">
        <v>2022</v>
      </c>
      <c r="B10" s="21" t="inlineStr">
        <is>
          <t>2022-09-24</t>
        </is>
      </c>
      <c r="C10" s="21" t="inlineStr">
        <is>
          <t>2022-09-23</t>
        </is>
      </c>
      <c r="D10" s="31" t="n">
        <v>150.4299926757812</v>
      </c>
      <c r="E10" s="31" t="n">
        <v>147.5472717285156</v>
      </c>
      <c r="F10" s="22" t="n">
        <v>96029900</v>
      </c>
      <c r="G10" s="32" t="n">
        <v>3.51</v>
      </c>
      <c r="H10" s="35" t="n">
        <v>0.0239</v>
      </c>
    </row>
    <row r="11" ht="20" customHeight="1">
      <c r="A11" s="26" t="n">
        <v>2023</v>
      </c>
      <c r="B11" s="26" t="inlineStr">
        <is>
          <t>2023-09-30</t>
        </is>
      </c>
      <c r="C11" s="26" t="inlineStr">
        <is>
          <t>2023-09-29</t>
        </is>
      </c>
      <c r="D11" s="33" t="n">
        <v>171.2100067138672</v>
      </c>
      <c r="E11" s="33" t="n">
        <v>168.92529296875</v>
      </c>
      <c r="F11" s="27" t="n">
        <v>51861100</v>
      </c>
      <c r="G11" s="34" t="n">
        <v>20.78</v>
      </c>
      <c r="H11" s="35" t="n">
        <v>0.1381</v>
      </c>
    </row>
    <row r="12" ht="20" customHeight="1">
      <c r="A12" s="21" t="n">
        <v>2024</v>
      </c>
      <c r="B12" s="21" t="inlineStr">
        <is>
          <t>2024-09-28</t>
        </is>
      </c>
      <c r="C12" s="21" t="inlineStr">
        <is>
          <t>2024-09-27</t>
        </is>
      </c>
      <c r="D12" s="31" t="n">
        <v>227.7899932861328</v>
      </c>
      <c r="E12" s="31" t="n">
        <v>225.9002990722656</v>
      </c>
      <c r="F12" s="22" t="n">
        <v>34026000</v>
      </c>
      <c r="G12" s="32" t="n">
        <v>56.58</v>
      </c>
      <c r="H12" s="35" t="n">
        <v>0.3305</v>
      </c>
    </row>
    <row r="13" ht="20" customHeight="1">
      <c r="A13" s="26" t="n">
        <v>2025</v>
      </c>
      <c r="B13" s="26" t="inlineStr">
        <is>
          <t>2025-09-27</t>
        </is>
      </c>
      <c r="C13" s="26" t="inlineStr">
        <is>
          <t>2025-09-26</t>
        </is>
      </c>
      <c r="D13" s="33" t="n">
        <v>255.4600067138672</v>
      </c>
      <c r="E13" s="33" t="n">
        <v>254.5198059082031</v>
      </c>
      <c r="F13" s="27" t="n">
        <v>46076300</v>
      </c>
      <c r="G13" s="34" t="n">
        <v>27.67</v>
      </c>
      <c r="H13" s="35" t="n">
        <v>0.1215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2026-10-28T19:27:57Z</dcterms:created>
  <dcterms:modified xmlns:dcterms="http://purl.org/dc/terms/" xmlns:xsi="http://www.w3.org/2001/XMLSchema-instance" xsi:type="dcterms:W3CDTF">2026-10-29T17:50:57Z</dcterms:modified>
</cp:coreProperties>
</file>