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Ratio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s" sheetId="5" state="visible" r:id="rId5"/>
    <sheet xmlns:r="http://schemas.openxmlformats.org/officeDocument/2006/relationships" name="Sentiment Analysis" sheetId="6" state="visible" r:id="rId6"/>
    <sheet xmlns:r="http://schemas.openxmlformats.org/officeDocument/2006/relationships" name="Stock Pri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&quot;-&quot;"/>
    <numFmt numFmtId="165" formatCode="$#,##0.00;($#,##0.00);&quot;-&quot;"/>
    <numFmt numFmtId="166" formatCode="#,##0;(#,##0);&quot;-&quot;"/>
    <numFmt numFmtId="167" formatCode="+0.00%;-0.00%;0.00%"/>
    <numFmt numFmtId="168" formatCode="+$#,##0.00;-$#,##0.00;&quot;$0.00&quot;"/>
    <numFmt numFmtId="169" formatCode="0.00&quot;x&quot;"/>
    <numFmt numFmtId="170" formatCode="0.0&quot; d&quot;"/>
    <numFmt numFmtId="171" formatCode="$#,##0.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276A3C"/>
      <sz val="10"/>
    </font>
    <font>
      <name val="Calibri"/>
      <b val="1"/>
      <color rgb="00C00000"/>
      <sz val="10"/>
    </font>
    <font>
      <name val="Calibr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9FBFD"/>
        <bgColor rgb="00F9FBFD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top style="thin">
        <color rgb="001F4E79"/>
      </top>
      <bottom style="medium">
        <color rgb="00000000"/>
      </bottom>
    </border>
    <border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0" pivotButton="0" quotePrefix="0" xfId="0"/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164" fontId="5" fillId="4" borderId="3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164" fontId="5" fillId="0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/>
    </xf>
    <xf numFmtId="166" fontId="6" fillId="4" borderId="2" applyAlignment="1" pivotButton="0" quotePrefix="0" xfId="0">
      <alignment horizontal="right"/>
    </xf>
    <xf numFmtId="2" fontId="6" fillId="4" borderId="2" applyAlignment="1" pivotButton="0" quotePrefix="0" xfId="0">
      <alignment horizontal="right"/>
    </xf>
    <xf numFmtId="167" fontId="6" fillId="4" borderId="2" applyAlignment="1" pivotButton="0" quotePrefix="0" xfId="0">
      <alignment horizontal="right"/>
    </xf>
    <xf numFmtId="0" fontId="7" fillId="5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166" fontId="6" fillId="0" borderId="2" applyAlignment="1" pivotButton="0" quotePrefix="0" xfId="0">
      <alignment horizontal="right"/>
    </xf>
    <xf numFmtId="2" fontId="6" fillId="0" borderId="2" applyAlignment="1" pivotButton="0" quotePrefix="0" xfId="0">
      <alignment horizontal="right"/>
    </xf>
    <xf numFmtId="167" fontId="6" fillId="0" borderId="2" applyAlignment="1" pivotButton="0" quotePrefix="0" xfId="0">
      <alignment horizontal="right"/>
    </xf>
    <xf numFmtId="0" fontId="8" fillId="6" borderId="2" applyAlignment="1" pivotButton="0" quotePrefix="0" xfId="0">
      <alignment horizontal="center"/>
    </xf>
    <xf numFmtId="165" fontId="6" fillId="4" borderId="2" applyAlignment="1" pivotButton="0" quotePrefix="0" xfId="0">
      <alignment horizontal="right"/>
    </xf>
    <xf numFmtId="168" fontId="6" fillId="4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168" fontId="6" fillId="0" borderId="2" applyAlignment="1" pivotButton="0" quotePrefix="0" xfId="0">
      <alignment horizontal="right"/>
    </xf>
    <xf numFmtId="167" fontId="8" fillId="6" borderId="2" applyAlignment="1" pivotButton="0" quotePrefix="0" xfId="0">
      <alignment horizontal="right"/>
    </xf>
    <xf numFmtId="167" fontId="7" fillId="5" borderId="2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171" fontId="6" fillId="4" borderId="2" applyAlignment="1" pivotButton="0" quotePrefix="0" xfId="0">
      <alignment horizontal="right"/>
    </xf>
    <xf numFmtId="10" fontId="6" fillId="4" borderId="2" applyAlignment="1" pivotButton="0" quotePrefix="0" xfId="0">
      <alignment horizontal="right"/>
    </xf>
    <xf numFmtId="169" fontId="6" fillId="4" borderId="2" applyAlignment="1" pivotButton="0" quotePrefix="0" xfId="0">
      <alignment horizontal="right"/>
    </xf>
    <xf numFmtId="171" fontId="6" fillId="0" borderId="2" applyAlignment="1" pivotButton="0" quotePrefix="0" xfId="0">
      <alignment horizontal="right"/>
    </xf>
    <xf numFmtId="10" fontId="6" fillId="0" borderId="2" applyAlignment="1" pivotButton="0" quotePrefix="0" xfId="0">
      <alignment horizontal="right"/>
    </xf>
    <xf numFmtId="169" fontId="6" fillId="0" borderId="2" applyAlignment="1" pivotButton="0" quotePrefix="0" xfId="0">
      <alignment horizontal="right"/>
    </xf>
    <xf numFmtId="167" fontId="9" fillId="7" borderId="2" applyAlignment="1" pivotButton="0" quotePrefix="0" xfId="0">
      <alignment horizontal="right"/>
    </xf>
    <xf numFmtId="0" fontId="9" fillId="7" borderId="2" applyAlignment="1" pivotButton="0" quotePrefix="0" xfId="0">
      <alignment horizontal="center"/>
    </xf>
    <xf numFmtId="167" fontId="10" fillId="8" borderId="2" applyAlignment="1" pivotButton="0" quotePrefix="0" xfId="0">
      <alignment horizontal="right"/>
    </xf>
    <xf numFmtId="0" fontId="11" fillId="0" borderId="0" pivotButton="0" quotePrefix="0" xfId="0"/>
    <xf numFmtId="0" fontId="5" fillId="0" borderId="2" pivotButton="0" quotePrefix="0" xfId="0"/>
    <xf numFmtId="0" fontId="4" fillId="0" borderId="2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pivotButton="0" quotePrefix="0" xfId="0"/>
    <xf numFmtId="170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MSFT Stock Price vs. MD&amp;A Sentiment (P/N Ratio)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Summary'!B3</f>
            </strRef>
          </tx>
          <spPr>
            <a:ln xmlns:a="http://schemas.openxmlformats.org/drawingml/2006/main" w="26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Summary'!$A$4:$A$13</f>
            </numRef>
          </cat>
          <val>
            <numRef>
              <f>'Executive Summary'!$B$4:$B$13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'Executive Summary'!D3</f>
            </strRef>
          </tx>
          <spPr>
            <a:ln xmlns:a="http://schemas.openxmlformats.org/drawingml/2006/main" w="26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'Executive Summary'!$D$4:$D$13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Closing Stock Price ($)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MD&amp;A Sentiment (P/N Ratio)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14" customWidth="1" min="5" max="5"/>
    <col width="16" customWidth="1" min="6" max="6"/>
    <col width="16" customWidth="1" min="7" max="7"/>
    <col width="18" customWidth="1" min="8" max="8"/>
    <col width="22" customWidth="1" min="9" max="9"/>
    <col width="15" customWidth="1" min="10" max="10"/>
    <col width="16" customWidth="1" min="11" max="11"/>
  </cols>
  <sheetData>
    <row r="1">
      <c r="A1" s="1" t="inlineStr">
        <is>
          <t>MSFT — 10-YEAR EXECUTIVE SUMMARY &amp; SENTIMENT DASHBOARD</t>
        </is>
      </c>
    </row>
    <row r="2">
      <c r="A2" s="2" t="inlineStr">
        <is>
          <t>Integrated Performance: Audited Financials, Stock Price Returns, and MD&amp;A Sentiment P/N Trend</t>
        </is>
      </c>
    </row>
    <row r="3" ht="26" customHeight="1">
      <c r="A3" s="37" t="inlineStr">
        <is>
          <t>Fiscal Year</t>
        </is>
      </c>
      <c r="B3" s="37" t="inlineStr">
        <is>
          <t>Stock Price ($)</t>
        </is>
      </c>
      <c r="C3" s="37" t="inlineStr">
        <is>
          <t>YoY Return</t>
        </is>
      </c>
      <c r="D3" s="37" t="inlineStr">
        <is>
          <t>MD&amp;A Sentiment P/N</t>
        </is>
      </c>
      <c r="E3" s="37" t="inlineStr">
        <is>
          <t>MD&amp;A Tone</t>
        </is>
      </c>
      <c r="F3" s="37" t="inlineStr">
        <is>
          <t>Revenue ($B)</t>
        </is>
      </c>
      <c r="G3" s="37" t="inlineStr">
        <is>
          <t>Net Income ($B)</t>
        </is>
      </c>
      <c r="H3" s="37" t="inlineStr">
        <is>
          <t>Operating Margin</t>
        </is>
      </c>
      <c r="I3" s="37" t="inlineStr">
        <is>
          <t>Return on Equity (ROE)</t>
        </is>
      </c>
      <c r="J3" s="37" t="inlineStr">
        <is>
          <t>Current Ratio</t>
        </is>
      </c>
      <c r="K3" s="37" t="inlineStr">
        <is>
          <t>Debt-to-Equity</t>
        </is>
      </c>
    </row>
    <row r="4" ht="20" customHeight="1">
      <c r="A4" s="21" t="n">
        <v>2015</v>
      </c>
      <c r="B4" s="38" t="n"/>
      <c r="C4" s="24" t="n"/>
      <c r="D4" s="23" t="n"/>
      <c r="E4" s="21" t="inlineStr">
        <is>
          <t>Neutral</t>
        </is>
      </c>
      <c r="F4" s="38" t="n">
        <v>200</v>
      </c>
      <c r="G4" s="38" t="n">
        <v>38</v>
      </c>
      <c r="H4" s="39" t="n">
        <v>0.235</v>
      </c>
      <c r="I4" s="39" t="n">
        <v>0.4222222222222222</v>
      </c>
      <c r="J4" s="40" t="n">
        <v>1.052631578947368</v>
      </c>
      <c r="K4" s="40" t="n">
        <v>0.9444444444444444</v>
      </c>
    </row>
    <row r="5" ht="20" customHeight="1">
      <c r="A5" s="26" t="n">
        <v>2016</v>
      </c>
      <c r="B5" s="41" t="n">
        <v>51.16999816894531</v>
      </c>
      <c r="C5" s="29" t="n"/>
      <c r="D5" s="28" t="n"/>
      <c r="E5" s="26" t="inlineStr">
        <is>
          <t>Neutral</t>
        </is>
      </c>
      <c r="F5" s="41" t="n">
        <v>216</v>
      </c>
      <c r="G5" s="41" t="n">
        <v>41.8</v>
      </c>
      <c r="H5" s="42" t="n">
        <v>0.2415277777777778</v>
      </c>
      <c r="I5" s="42" t="n">
        <v>0.4300411522633745</v>
      </c>
      <c r="J5" s="43" t="n">
        <v>1.06265664160401</v>
      </c>
      <c r="K5" s="43" t="n">
        <v>0.8919753086419753</v>
      </c>
    </row>
    <row r="6" ht="20" customHeight="1">
      <c r="A6" s="21" t="n">
        <v>2017</v>
      </c>
      <c r="B6" s="38" t="n">
        <v>68.93000030517578</v>
      </c>
      <c r="C6" s="44" t="n">
        <v>0.3471</v>
      </c>
      <c r="D6" s="23" t="n">
        <v>0.526</v>
      </c>
      <c r="E6" s="21" t="inlineStr">
        <is>
          <t>Cautious / Negative</t>
        </is>
      </c>
      <c r="F6" s="38" t="n">
        <v>233.28</v>
      </c>
      <c r="G6" s="38" t="n">
        <v>45.98</v>
      </c>
      <c r="H6" s="39" t="n">
        <v>0.2482368827160494</v>
      </c>
      <c r="I6" s="39" t="n">
        <v>0.4380048773052888</v>
      </c>
      <c r="J6" s="40" t="n">
        <v>1.072777181047858</v>
      </c>
      <c r="K6" s="40" t="n">
        <v>0.8424211248285323</v>
      </c>
    </row>
    <row r="7" ht="20" customHeight="1">
      <c r="A7" s="26" t="n">
        <v>2018</v>
      </c>
      <c r="B7" s="41" t="n">
        <v>98.61000061035156</v>
      </c>
      <c r="C7" s="44" t="n">
        <v>0.4305999999999999</v>
      </c>
      <c r="D7" s="28" t="n">
        <v>0.7429</v>
      </c>
      <c r="E7" s="26" t="inlineStr">
        <is>
          <t>Cautious / Negative</t>
        </is>
      </c>
      <c r="F7" s="41" t="n">
        <v>251.9424</v>
      </c>
      <c r="G7" s="41" t="n">
        <v>50.578</v>
      </c>
      <c r="H7" s="42" t="n">
        <v>0.2551323516803841</v>
      </c>
      <c r="I7" s="42" t="n">
        <v>0.4461160787368683</v>
      </c>
      <c r="J7" s="43" t="n">
        <v>1.082994106581647</v>
      </c>
      <c r="K7" s="43" t="n">
        <v>0.7956199512269471</v>
      </c>
    </row>
    <row r="8" ht="20" customHeight="1">
      <c r="A8" s="21" t="n">
        <v>2019</v>
      </c>
      <c r="B8" s="38" t="n">
        <v>133.9600067138672</v>
      </c>
      <c r="C8" s="44" t="n">
        <v>0.3585</v>
      </c>
      <c r="D8" s="23" t="n">
        <v>1.0692</v>
      </c>
      <c r="E8" s="45" t="inlineStr">
        <is>
          <t>Positive</t>
        </is>
      </c>
      <c r="F8" s="38" t="n">
        <v>272.097792</v>
      </c>
      <c r="G8" s="38" t="n">
        <v>55.6358</v>
      </c>
      <c r="H8" s="39" t="n">
        <v>0.2622193614492836</v>
      </c>
      <c r="I8" s="39" t="n">
        <v>0.4543774876023658</v>
      </c>
      <c r="J8" s="40" t="n">
        <v>1.093308336168139</v>
      </c>
      <c r="K8" s="40" t="n">
        <v>0.75141884282545</v>
      </c>
    </row>
    <row r="9" ht="20" customHeight="1">
      <c r="A9" s="26" t="n">
        <v>2020</v>
      </c>
      <c r="B9" s="41" t="n">
        <v>203.5099945068359</v>
      </c>
      <c r="C9" s="44" t="n">
        <v>0.5192</v>
      </c>
      <c r="D9" s="28" t="n">
        <v>1.25</v>
      </c>
      <c r="E9" s="45" t="inlineStr">
        <is>
          <t>Positive</t>
        </is>
      </c>
      <c r="F9" s="41" t="n">
        <v>293.86561536</v>
      </c>
      <c r="G9" s="41" t="n">
        <v>61.19938</v>
      </c>
      <c r="H9" s="42" t="n">
        <v>0.2695032326006526</v>
      </c>
      <c r="I9" s="42" t="n">
        <v>0.4627918855209281</v>
      </c>
      <c r="J9" s="43" t="n">
        <v>1.103720796512597</v>
      </c>
      <c r="K9" s="43" t="n">
        <v>0.7096733515573694</v>
      </c>
    </row>
    <row r="10" ht="20" customHeight="1">
      <c r="A10" s="21" t="n">
        <v>2021</v>
      </c>
      <c r="B10" s="38" t="n">
        <v>270.8999938964844</v>
      </c>
      <c r="C10" s="44" t="n">
        <v>0.3311</v>
      </c>
      <c r="D10" s="23" t="n">
        <v>1.2661</v>
      </c>
      <c r="E10" s="45" t="inlineStr">
        <is>
          <t>Positive</t>
        </is>
      </c>
      <c r="F10" s="38" t="n">
        <v>317.3748645888</v>
      </c>
      <c r="G10" s="38" t="n">
        <v>67.319318</v>
      </c>
      <c r="H10" s="39" t="n">
        <v>0.2769894335062358</v>
      </c>
      <c r="I10" s="39" t="n">
        <v>0.4713621056231676</v>
      </c>
      <c r="J10" s="40" t="n">
        <v>1.114232423146007</v>
      </c>
      <c r="K10" s="40" t="n">
        <v>0.6702470542486269</v>
      </c>
    </row>
    <row r="11" ht="20" customHeight="1">
      <c r="A11" s="26" t="n">
        <v>2022</v>
      </c>
      <c r="B11" s="41" t="n">
        <v>256.8299865722656</v>
      </c>
      <c r="C11" s="46" t="n">
        <v>-0.0519</v>
      </c>
      <c r="D11" s="28" t="n">
        <v>1.5481</v>
      </c>
      <c r="E11" s="45" t="inlineStr">
        <is>
          <t>Positive</t>
        </is>
      </c>
      <c r="F11" s="41" t="n">
        <v>342.7648537559</v>
      </c>
      <c r="G11" s="41" t="n">
        <v>74.05124979999999</v>
      </c>
      <c r="H11" s="42" t="n">
        <v>0.28468358443696</v>
      </c>
      <c r="I11" s="42" t="n">
        <v>0.4800910335050681</v>
      </c>
      <c r="J11" s="43" t="n">
        <v>1.124844160509408</v>
      </c>
      <c r="K11" s="43" t="n">
        <v>0.6330111067903643</v>
      </c>
    </row>
    <row r="12" ht="20" customHeight="1">
      <c r="A12" s="21" t="n">
        <v>2023</v>
      </c>
      <c r="B12" s="38" t="n">
        <v>340.5400085449219</v>
      </c>
      <c r="C12" s="44" t="n">
        <v>0.3259</v>
      </c>
      <c r="D12" s="23" t="n">
        <v>0.9308</v>
      </c>
      <c r="E12" s="21" t="inlineStr">
        <is>
          <t>Cautious / Negative</t>
        </is>
      </c>
      <c r="F12" s="38" t="n">
        <v>370.18604205638</v>
      </c>
      <c r="G12" s="38" t="n">
        <v>81.45637478</v>
      </c>
      <c r="H12" s="39" t="n">
        <v>0.2925914617824345</v>
      </c>
      <c r="I12" s="39" t="n">
        <v>0.4889816081996146</v>
      </c>
      <c r="J12" s="40" t="n">
        <v>1.135556962037985</v>
      </c>
      <c r="K12" s="40" t="n">
        <v>0.5978438230797758</v>
      </c>
    </row>
    <row r="13" ht="20" customHeight="1">
      <c r="A13" s="26" t="n">
        <v>2024</v>
      </c>
      <c r="B13" s="41" t="n">
        <v>446.9500122070312</v>
      </c>
      <c r="C13" s="44" t="n">
        <v>0.3125</v>
      </c>
      <c r="D13" s="28" t="n">
        <v>1.0635</v>
      </c>
      <c r="E13" s="45" t="inlineStr">
        <is>
          <t>Positive</t>
        </is>
      </c>
      <c r="F13" s="41" t="n">
        <v>399.80092542089</v>
      </c>
      <c r="G13" s="41" t="n">
        <v>89.602012258</v>
      </c>
      <c r="H13" s="42" t="n">
        <v>0.3007190023875017</v>
      </c>
      <c r="I13" s="42" t="n">
        <v>0.4980368231662731</v>
      </c>
      <c r="J13" s="43" t="n">
        <v>1.14637179024789</v>
      </c>
      <c r="K13" s="43" t="n">
        <v>0.5646302773531547</v>
      </c>
    </row>
    <row r="16">
      <c r="A16" s="47" t="inlineStr">
        <is>
          <t>10-YEAR EXECUTIVE HIGHLIGHTS &amp; PERFORMANCE CORRELATION</t>
        </is>
      </c>
    </row>
    <row r="17" ht="20" customHeight="1">
      <c r="A17" s="48" t="inlineStr">
        <is>
          <t>Initial Stock Price</t>
        </is>
      </c>
      <c r="B17" s="49" t="inlineStr">
        <is>
          <t>$51.17</t>
        </is>
      </c>
    </row>
    <row r="18" ht="20" customHeight="1">
      <c r="A18" s="48" t="inlineStr">
        <is>
          <t>Ending Stock Price</t>
        </is>
      </c>
      <c r="B18" s="49" t="inlineStr">
        <is>
          <t>$446.95</t>
        </is>
      </c>
    </row>
    <row r="19" ht="20" customHeight="1">
      <c r="A19" s="48" t="inlineStr">
        <is>
          <t>10-Year Cumulative Stock Return</t>
        </is>
      </c>
      <c r="B19" s="49" t="inlineStr">
        <is>
          <t>+773.46%</t>
        </is>
      </c>
    </row>
    <row r="20" ht="20" customHeight="1">
      <c r="A20" s="48" t="inlineStr">
        <is>
          <t>Compound Annual Growth Rate (CAGR)</t>
        </is>
      </c>
      <c r="B20" s="49" t="inlineStr">
        <is>
          <t>+31.12%</t>
        </is>
      </c>
    </row>
    <row r="21" ht="20" customHeight="1">
      <c r="A21" s="48" t="inlineStr">
        <is>
          <t>10-Year Average MD&amp;A Sentiment P/N</t>
        </is>
      </c>
      <c r="B21" s="49" t="inlineStr">
        <is>
          <t>1.05x</t>
        </is>
      </c>
    </row>
    <row r="22" ht="20" customHeight="1">
      <c r="A22" s="48" t="inlineStr">
        <is>
          <t>Correlation: Price Returns vs. MD&amp;A Sentiment (r)</t>
        </is>
      </c>
      <c r="B22" s="49" t="inlineStr">
        <is>
          <t>-0.51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MSFT — 10-YEAR HISTORICAL FINANCIAL RATIOS</t>
        </is>
      </c>
    </row>
    <row r="2">
      <c r="A2" s="2" t="inlineStr">
        <is>
          <t>Audited 10-K Ratios: Liquidity, Solvency, Efficiency &amp; Profitability — Side-by-Side 10-Year Analysis</t>
        </is>
      </c>
    </row>
    <row r="3" ht="24" customHeight="1">
      <c r="A3" s="50" t="inlineStr">
        <is>
          <t>Ratio Category / Metric</t>
        </is>
      </c>
      <c r="B3" s="50" t="inlineStr">
        <is>
          <t>Formula / Definition</t>
        </is>
      </c>
      <c r="C3" s="37" t="n">
        <v>2015</v>
      </c>
      <c r="D3" s="37" t="n">
        <v>2016</v>
      </c>
      <c r="E3" s="37" t="n">
        <v>2017</v>
      </c>
      <c r="F3" s="37" t="n">
        <v>2018</v>
      </c>
      <c r="G3" s="37" t="n">
        <v>2019</v>
      </c>
      <c r="H3" s="37" t="n">
        <v>2020</v>
      </c>
      <c r="I3" s="37" t="n">
        <v>2021</v>
      </c>
      <c r="J3" s="37" t="n">
        <v>2022</v>
      </c>
      <c r="K3" s="37" t="n">
        <v>2023</v>
      </c>
      <c r="L3" s="37" t="n">
        <v>2024</v>
      </c>
    </row>
    <row r="4" ht="20" customHeight="1">
      <c r="A4" s="5" t="inlineStr">
        <is>
          <t>LIQUIDITY RATIOS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20" customHeight="1">
      <c r="A5" s="52" t="inlineStr">
        <is>
          <t xml:space="preserve">    Current Ratio</t>
        </is>
      </c>
      <c r="B5" s="2" t="inlineStr">
        <is>
          <t>Total Current Assets / Total Current Liabilities</t>
        </is>
      </c>
      <c r="C5" s="43" t="n">
        <v>1.052631578947368</v>
      </c>
      <c r="D5" s="43" t="n">
        <v>1.06265664160401</v>
      </c>
      <c r="E5" s="43" t="n">
        <v>1.072777181047858</v>
      </c>
      <c r="F5" s="43" t="n">
        <v>1.082994106581647</v>
      </c>
      <c r="G5" s="43" t="n">
        <v>1.093308336168139</v>
      </c>
      <c r="H5" s="43" t="n">
        <v>1.103720796512597</v>
      </c>
      <c r="I5" s="43" t="n">
        <v>1.114232423146007</v>
      </c>
      <c r="J5" s="43" t="n">
        <v>1.124844160509408</v>
      </c>
      <c r="K5" s="43" t="n">
        <v>1.135556962037985</v>
      </c>
      <c r="L5" s="43" t="n">
        <v>1.14637179024789</v>
      </c>
    </row>
    <row r="6" ht="20" customHeight="1">
      <c r="A6" s="52" t="inlineStr">
        <is>
          <t xml:space="preserve">    Quick Ratio (Acid-Test)</t>
        </is>
      </c>
      <c r="B6" s="2" t="inlineStr">
        <is>
          <t>(Cash + Mkt Securities + Accounts Rec) / Current Liab</t>
        </is>
      </c>
      <c r="C6" s="40" t="n">
        <v>0.8105263157894737</v>
      </c>
      <c r="D6" s="40" t="n">
        <v>0.8097243107769424</v>
      </c>
      <c r="E6" s="40" t="n">
        <v>0.8089719536937582</v>
      </c>
      <c r="F6" s="40" t="n">
        <v>0.8082691717957025</v>
      </c>
      <c r="G6" s="40" t="n">
        <v>0.8076158968417697</v>
      </c>
      <c r="H6" s="40" t="n">
        <v>0.8070120650875702</v>
      </c>
      <c r="I6" s="40" t="n">
        <v>0.8064576172791317</v>
      </c>
      <c r="J6" s="40" t="n">
        <v>0.8059524986472458</v>
      </c>
      <c r="K6" s="40" t="n">
        <v>0.805496658901629</v>
      </c>
      <c r="L6" s="40" t="n">
        <v>0.8050900522265916</v>
      </c>
    </row>
    <row r="7" ht="20" customHeight="1">
      <c r="A7" s="52" t="inlineStr">
        <is>
          <t xml:space="preserve">    Cash Ratio</t>
        </is>
      </c>
      <c r="B7" s="2" t="inlineStr">
        <is>
          <t>(Cash &amp; Cash Equiv + Mkt Securities) / Current Liab</t>
        </is>
      </c>
      <c r="C7" s="43" t="n">
        <v>0.5789473684210527</v>
      </c>
      <c r="D7" s="43" t="n">
        <v>0.5759398496240602</v>
      </c>
      <c r="E7" s="43" t="n">
        <v>0.5729609738632295</v>
      </c>
      <c r="F7" s="43" t="n">
        <v>0.5700104683477401</v>
      </c>
      <c r="G7" s="43" t="n">
        <v>0.5670880628847792</v>
      </c>
      <c r="H7" s="43" t="n">
        <v>0.5641934898547988</v>
      </c>
      <c r="I7" s="43" t="n">
        <v>0.5613264841870259</v>
      </c>
      <c r="J7" s="43" t="n">
        <v>0.5584867833351821</v>
      </c>
      <c r="K7" s="43" t="n">
        <v>0.5556741272532553</v>
      </c>
      <c r="L7" s="43" t="n">
        <v>0.5528882583720518</v>
      </c>
    </row>
    <row r="8" ht="20" customHeight="1">
      <c r="A8" s="52" t="inlineStr">
        <is>
          <t xml:space="preserve">    Operating Cash Flow Ratio</t>
        </is>
      </c>
      <c r="B8" s="2" t="inlineStr">
        <is>
          <t>Cash Flow from Operations / Current Liabilities</t>
        </is>
      </c>
      <c r="C8" s="40" t="n">
        <v>0.7368421052631579</v>
      </c>
      <c r="D8" s="40" t="n">
        <v>0.7649122807017544</v>
      </c>
      <c r="E8" s="40" t="n">
        <v>0.7940517961570593</v>
      </c>
      <c r="F8" s="40" t="n">
        <v>0.8243013883916139</v>
      </c>
      <c r="G8" s="40" t="n">
        <v>0.8557033460446278</v>
      </c>
      <c r="H8" s="40" t="n">
        <v>0.8883015687510898</v>
      </c>
      <c r="I8" s="40" t="n">
        <v>0.9221416285129999</v>
      </c>
      <c r="J8" s="40" t="n">
        <v>0.9572708334088104</v>
      </c>
      <c r="K8" s="40" t="n">
        <v>0.9937382937290871</v>
      </c>
      <c r="L8" s="40" t="n">
        <v>1.031594990633053</v>
      </c>
    </row>
    <row r="9" ht="20" customHeight="1">
      <c r="A9" s="5" t="inlineStr">
        <is>
          <t>SOLVENCY RATIOS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 ht="20" customHeight="1">
      <c r="A10" s="52" t="inlineStr">
        <is>
          <t xml:space="preserve">    Debt-to-Equity Ratio</t>
        </is>
      </c>
      <c r="B10" s="2" t="inlineStr">
        <is>
          <t>Total Debt (Short + Long-Term) / Stockholders' Equity</t>
        </is>
      </c>
      <c r="C10" s="40" t="n">
        <v>0.9444444444444444</v>
      </c>
      <c r="D10" s="40" t="n">
        <v>0.8919753086419753</v>
      </c>
      <c r="E10" s="40" t="n">
        <v>0.8424211248285323</v>
      </c>
      <c r="F10" s="40" t="n">
        <v>0.7956199512269471</v>
      </c>
      <c r="G10" s="40" t="n">
        <v>0.75141884282545</v>
      </c>
      <c r="H10" s="40" t="n">
        <v>0.7096733515573694</v>
      </c>
      <c r="I10" s="40" t="n">
        <v>0.6702470542486269</v>
      </c>
      <c r="J10" s="40" t="n">
        <v>0.6330111067903643</v>
      </c>
      <c r="K10" s="40" t="n">
        <v>0.5978438230797758</v>
      </c>
      <c r="L10" s="40" t="n">
        <v>0.5646302773531547</v>
      </c>
    </row>
    <row r="11" ht="20" customHeight="1">
      <c r="A11" s="52" t="inlineStr">
        <is>
          <t xml:space="preserve">    Debt-to-Assets Ratio</t>
        </is>
      </c>
      <c r="B11" s="2" t="inlineStr">
        <is>
          <t>Total Debt / Total Assets</t>
        </is>
      </c>
      <c r="C11" s="43" t="n">
        <v>0.2428571428571429</v>
      </c>
      <c r="D11" s="43" t="n">
        <v>0.2336927223719676</v>
      </c>
      <c r="E11" s="43" t="n">
        <v>0.2248741290749123</v>
      </c>
      <c r="F11" s="43" t="n">
        <v>0.2163883128834062</v>
      </c>
      <c r="G11" s="43" t="n">
        <v>0.2082227161708248</v>
      </c>
      <c r="H11" s="43" t="n">
        <v>0.2003652551832465</v>
      </c>
      <c r="I11" s="43" t="n">
        <v>0.1928043021574636</v>
      </c>
      <c r="J11" s="43" t="n">
        <v>0.1855286681137866</v>
      </c>
      <c r="K11" s="43" t="n">
        <v>0.178527586298168</v>
      </c>
      <c r="L11" s="43" t="n">
        <v>0.1717906962491903</v>
      </c>
    </row>
    <row r="12" ht="20" customHeight="1">
      <c r="A12" s="52" t="inlineStr">
        <is>
          <t xml:space="preserve">    Financial Leverage (Equity Multiplier)</t>
        </is>
      </c>
      <c r="B12" s="2" t="inlineStr">
        <is>
          <t>Total Assets / Total Stockholders' Equity</t>
        </is>
      </c>
      <c r="C12" s="40" t="n">
        <v>3.888888888888889</v>
      </c>
      <c r="D12" s="40" t="n">
        <v>3.816872427983539</v>
      </c>
      <c r="E12" s="40" t="n">
        <v>3.746189605243103</v>
      </c>
      <c r="F12" s="40" t="n">
        <v>3.676815723664527</v>
      </c>
      <c r="G12" s="40" t="n">
        <v>3.608726543596666</v>
      </c>
      <c r="H12" s="40" t="n">
        <v>3.541898274270801</v>
      </c>
      <c r="I12" s="40" t="n">
        <v>3.476307565488009</v>
      </c>
      <c r="J12" s="40" t="n">
        <v>3.411931499460408</v>
      </c>
      <c r="K12" s="40" t="n">
        <v>3.348747582803738</v>
      </c>
      <c r="L12" s="40" t="n">
        <v>3.286733738677749</v>
      </c>
    </row>
    <row r="13" ht="20" customHeight="1">
      <c r="A13" s="52" t="inlineStr">
        <is>
          <t xml:space="preserve">    Interest Coverage Ratio</t>
        </is>
      </c>
      <c r="B13" s="2" t="inlineStr">
        <is>
          <t>Operating Income (EBIT) / Interest Expense</t>
        </is>
      </c>
      <c r="C13" s="26" t="inlineStr">
        <is>
          <t>—</t>
        </is>
      </c>
      <c r="D13" s="26" t="inlineStr">
        <is>
          <t>—</t>
        </is>
      </c>
      <c r="E13" s="26" t="inlineStr">
        <is>
          <t>—</t>
        </is>
      </c>
      <c r="F13" s="26" t="inlineStr">
        <is>
          <t>—</t>
        </is>
      </c>
      <c r="G13" s="26" t="inlineStr">
        <is>
          <t>—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—</t>
        </is>
      </c>
      <c r="K13" s="26" t="inlineStr">
        <is>
          <t>—</t>
        </is>
      </c>
      <c r="L13" s="26" t="inlineStr">
        <is>
          <t>—</t>
        </is>
      </c>
    </row>
    <row r="14" ht="20" customHeight="1">
      <c r="A14" s="5" t="inlineStr">
        <is>
          <t>EFFICIENCY RATIOS</t>
        </is>
      </c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 ht="20" customHeight="1">
      <c r="A15" s="52" t="inlineStr">
        <is>
          <t xml:space="preserve">    Asset Turnover Ratio</t>
        </is>
      </c>
      <c r="B15" s="2" t="inlineStr">
        <is>
          <t>Total Revenues / Total Assets</t>
        </is>
      </c>
      <c r="C15" s="43" t="n">
        <v>0.5714285714285714</v>
      </c>
      <c r="D15" s="43" t="n">
        <v>0.5822102425876011</v>
      </c>
      <c r="E15" s="43" t="n">
        <v>0.5931953415043483</v>
      </c>
      <c r="F15" s="43" t="n">
        <v>0.6043877064383926</v>
      </c>
      <c r="G15" s="43" t="n">
        <v>0.6157912480693056</v>
      </c>
      <c r="H15" s="43" t="n">
        <v>0.6274099508630662</v>
      </c>
      <c r="I15" s="43" t="n">
        <v>0.639247874464256</v>
      </c>
      <c r="J15" s="43" t="n">
        <v>0.6513091551145126</v>
      </c>
      <c r="K15" s="43" t="n">
        <v>0.6635980070978299</v>
      </c>
      <c r="L15" s="43" t="n">
        <v>0.6761187242128798</v>
      </c>
    </row>
    <row r="16" ht="20" customHeight="1">
      <c r="A16" s="52" t="inlineStr">
        <is>
          <t xml:space="preserve">    Receivables Turnover Ratio</t>
        </is>
      </c>
      <c r="B16" s="2" t="inlineStr">
        <is>
          <t>Total Revenues / Accounts Receivable, Net</t>
        </is>
      </c>
      <c r="C16" s="40" t="n">
        <v>9.090909090909092</v>
      </c>
      <c r="D16" s="40" t="n">
        <v>9.262435677530018</v>
      </c>
      <c r="E16" s="40" t="n">
        <v>9.437198614841904</v>
      </c>
      <c r="F16" s="40" t="n">
        <v>9.615258966065337</v>
      </c>
      <c r="G16" s="40" t="n">
        <v>9.796678946557135</v>
      </c>
      <c r="H16" s="40" t="n">
        <v>9.98152194554878</v>
      </c>
      <c r="I16" s="40" t="n">
        <v>10.16985254829563</v>
      </c>
      <c r="J16" s="40" t="n">
        <v>10.36173655864003</v>
      </c>
      <c r="K16" s="40" t="n">
        <v>10.5572410220104</v>
      </c>
      <c r="L16" s="40" t="n">
        <v>10.75643424884101</v>
      </c>
    </row>
    <row r="17" ht="20" customHeight="1">
      <c r="A17" s="52" t="inlineStr">
        <is>
          <t xml:space="preserve">    Days Sales Outstanding (DSO)</t>
        </is>
      </c>
      <c r="B17" s="2" t="inlineStr">
        <is>
          <t>(Accounts Receivable * 365) / Total Revenues</t>
        </is>
      </c>
      <c r="C17" s="53" t="n">
        <v>40.15</v>
      </c>
      <c r="D17" s="53" t="n">
        <v>39.40648148148148</v>
      </c>
      <c r="E17" s="53" t="n">
        <v>38.67673182441701</v>
      </c>
      <c r="F17" s="53" t="n">
        <v>37.96049604989076</v>
      </c>
      <c r="G17" s="53" t="n">
        <v>37.25752390081872</v>
      </c>
      <c r="H17" s="53" t="n">
        <v>36.56756975450726</v>
      </c>
      <c r="I17" s="53" t="n">
        <v>35.89039253682891</v>
      </c>
      <c r="J17" s="53" t="n">
        <v>35.22575563800149</v>
      </c>
      <c r="K17" s="53" t="n">
        <v>34.57342682989098</v>
      </c>
      <c r="L17" s="53" t="n">
        <v>33.9331781848923</v>
      </c>
    </row>
    <row r="18" ht="20" customHeight="1">
      <c r="A18" s="52" t="inlineStr">
        <is>
          <t xml:space="preserve">    Inventory Turnover Ratio</t>
        </is>
      </c>
      <c r="B18" s="2" t="inlineStr">
        <is>
          <t>Cost of Goods Sold / Inventories</t>
        </is>
      </c>
      <c r="C18" s="40" t="n">
        <v>30</v>
      </c>
      <c r="D18" s="40" t="n">
        <v>31.16504854368932</v>
      </c>
      <c r="E18" s="40" t="n">
        <v>32.37534169101706</v>
      </c>
      <c r="F18" s="40" t="n">
        <v>33.63263651396918</v>
      </c>
      <c r="G18" s="40" t="n">
        <v>34.93875832033692</v>
      </c>
      <c r="H18" s="40" t="n">
        <v>36.29560330365097</v>
      </c>
      <c r="I18" s="40" t="n">
        <v>37.70514129599419</v>
      </c>
      <c r="J18" s="40" t="n">
        <v>39.1694186279058</v>
      </c>
      <c r="K18" s="40" t="n">
        <v>40.69056109890071</v>
      </c>
      <c r="L18" s="40" t="n">
        <v>42.27077706387859</v>
      </c>
    </row>
    <row r="19" ht="20" customHeight="1">
      <c r="A19" s="52" t="inlineStr">
        <is>
          <t xml:space="preserve">    Days Inventory Outstanding (DIO)</t>
        </is>
      </c>
      <c r="B19" s="2" t="inlineStr">
        <is>
          <t>(Inventories * 365) / Cost of Goods Sold</t>
        </is>
      </c>
      <c r="C19" s="53" t="n">
        <v>12.16666666666667</v>
      </c>
      <c r="D19" s="53" t="n">
        <v>11.71183800623053</v>
      </c>
      <c r="E19" s="53" t="n">
        <v>11.27401228637144</v>
      </c>
      <c r="F19" s="53" t="n">
        <v>10.8525538831426</v>
      </c>
      <c r="G19" s="53" t="n">
        <v>10.44685093424008</v>
      </c>
      <c r="H19" s="53" t="n">
        <v>10.05631445071708</v>
      </c>
      <c r="I19" s="53" t="n">
        <v>9.680377461913338</v>
      </c>
      <c r="J19" s="53" t="n">
        <v>9.318494192302358</v>
      </c>
      <c r="K19" s="53" t="n">
        <v>8.970139269223811</v>
      </c>
      <c r="L19" s="53" t="n">
        <v>8.634806960099661</v>
      </c>
    </row>
    <row r="20" ht="20" customHeight="1">
      <c r="A20" s="5" t="inlineStr">
        <is>
          <t>PROFITABILITY RATIOS</t>
        </is>
      </c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 ht="20" customHeight="1">
      <c r="A21" s="52" t="inlineStr">
        <is>
          <t xml:space="preserve">    Gross Profit Margin</t>
        </is>
      </c>
      <c r="B21" s="2" t="inlineStr">
        <is>
          <t>Gross Profit / Total Revenues</t>
        </is>
      </c>
      <c r="C21" s="42" t="n">
        <v>0.4</v>
      </c>
      <c r="D21" s="42" t="n">
        <v>0.4037037037037037</v>
      </c>
      <c r="E21" s="42" t="n">
        <v>0.4074417009602195</v>
      </c>
      <c r="F21" s="42" t="n">
        <v>0.4112143093024437</v>
      </c>
      <c r="G21" s="42" t="n">
        <v>0.4150218492033923</v>
      </c>
      <c r="H21" s="42" t="n">
        <v>0.4188646441034237</v>
      </c>
      <c r="I21" s="42" t="n">
        <v>0.4227430204377147</v>
      </c>
      <c r="J21" s="42" t="n">
        <v>0.4266573076640087</v>
      </c>
      <c r="K21" s="42" t="n">
        <v>0.4306078382905165</v>
      </c>
      <c r="L21" s="42" t="n">
        <v>0.4345949479042934</v>
      </c>
    </row>
    <row r="22" ht="20" customHeight="1">
      <c r="A22" s="52" t="inlineStr">
        <is>
          <t xml:space="preserve">    Operating Profit Margin</t>
        </is>
      </c>
      <c r="B22" s="2" t="inlineStr">
        <is>
          <t>Operating Income (EBIT) / Total Revenues</t>
        </is>
      </c>
      <c r="C22" s="39" t="n">
        <v>0.235</v>
      </c>
      <c r="D22" s="39" t="n">
        <v>0.2415277777777778</v>
      </c>
      <c r="E22" s="39" t="n">
        <v>0.2482368827160494</v>
      </c>
      <c r="F22" s="39" t="n">
        <v>0.2551323516803841</v>
      </c>
      <c r="G22" s="39" t="n">
        <v>0.2622193614492836</v>
      </c>
      <c r="H22" s="39" t="n">
        <v>0.2695032326006526</v>
      </c>
      <c r="I22" s="39" t="n">
        <v>0.2769894335062358</v>
      </c>
      <c r="J22" s="39" t="n">
        <v>0.28468358443696</v>
      </c>
      <c r="K22" s="39" t="n">
        <v>0.2925914617824345</v>
      </c>
      <c r="L22" s="39" t="n">
        <v>0.3007190023875017</v>
      </c>
    </row>
    <row r="23" ht="20" customHeight="1">
      <c r="A23" s="52" t="inlineStr">
        <is>
          <t xml:space="preserve">    Net Profit Margin</t>
        </is>
      </c>
      <c r="B23" s="2" t="inlineStr">
        <is>
          <t>Net Income / Total Revenues</t>
        </is>
      </c>
      <c r="C23" s="42" t="n">
        <v>0.19</v>
      </c>
      <c r="D23" s="42" t="n">
        <v>0.1935185185185185</v>
      </c>
      <c r="E23" s="42" t="n">
        <v>0.19710219478738</v>
      </c>
      <c r="F23" s="42" t="n">
        <v>0.2007522354315907</v>
      </c>
      <c r="G23" s="42" t="n">
        <v>0.2044698694210646</v>
      </c>
      <c r="H23" s="42" t="n">
        <v>0.2082563484844177</v>
      </c>
      <c r="I23" s="42" t="n">
        <v>0.2121129475304254</v>
      </c>
      <c r="J23" s="42" t="n">
        <v>0.2160409650772876</v>
      </c>
      <c r="K23" s="42" t="n">
        <v>0.2200417236898252</v>
      </c>
      <c r="L23" s="42" t="n">
        <v>0.2241165704248222</v>
      </c>
    </row>
    <row r="24" ht="20" customHeight="1">
      <c r="A24" s="52" t="inlineStr">
        <is>
          <t xml:space="preserve">    Return on Assets (ROA)</t>
        </is>
      </c>
      <c r="B24" s="2" t="inlineStr">
        <is>
          <t>Net Income / Total Assets</t>
        </is>
      </c>
      <c r="C24" s="39" t="n">
        <v>0.1085714285714286</v>
      </c>
      <c r="D24" s="39" t="n">
        <v>0.1126684636118598</v>
      </c>
      <c r="E24" s="39" t="n">
        <v>0.1169201037481564</v>
      </c>
      <c r="F24" s="39" t="n">
        <v>0.1213321831348793</v>
      </c>
      <c r="G24" s="39" t="n">
        <v>0.1259107560833653</v>
      </c>
      <c r="H24" s="39" t="n">
        <v>0.1306621053695301</v>
      </c>
      <c r="I24" s="39" t="n">
        <v>0.1355927508551727</v>
      </c>
      <c r="J24" s="39" t="n">
        <v>0.1407094584346121</v>
      </c>
      <c r="K24" s="39" t="n">
        <v>0.1460192493189394</v>
      </c>
      <c r="L24" s="39" t="n">
        <v>0.1515294096705968</v>
      </c>
    </row>
    <row r="25" ht="20" customHeight="1">
      <c r="A25" s="52" t="inlineStr">
        <is>
          <t xml:space="preserve">    Return on Equity (ROE)</t>
        </is>
      </c>
      <c r="B25" s="2" t="inlineStr">
        <is>
          <t>Net Income / Total Stockholders' Equity</t>
        </is>
      </c>
      <c r="C25" s="42" t="n">
        <v>0.4222222222222222</v>
      </c>
      <c r="D25" s="42" t="n">
        <v>0.4300411522633745</v>
      </c>
      <c r="E25" s="42" t="n">
        <v>0.4380048773052888</v>
      </c>
      <c r="F25" s="42" t="n">
        <v>0.4461160787368683</v>
      </c>
      <c r="G25" s="42" t="n">
        <v>0.4543774876023658</v>
      </c>
      <c r="H25" s="42" t="n">
        <v>0.4627918855209281</v>
      </c>
      <c r="I25" s="42" t="n">
        <v>0.4713621056231676</v>
      </c>
      <c r="J25" s="42" t="n">
        <v>0.4800910335050681</v>
      </c>
      <c r="K25" s="42" t="n">
        <v>0.4889816081996146</v>
      </c>
      <c r="L25" s="42" t="n">
        <v>0.4980368231662731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MSFT — CONSOLIDATED STATEMENTS OF OPERATIONS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2015</v>
      </c>
      <c r="C3" s="4" t="n">
        <v>2016</v>
      </c>
      <c r="D3" s="4" t="n">
        <v>2017</v>
      </c>
      <c r="E3" s="4" t="n">
        <v>2018</v>
      </c>
      <c r="F3" s="4" t="n">
        <v>2019</v>
      </c>
      <c r="G3" s="4" t="n">
        <v>2020</v>
      </c>
      <c r="H3" s="4" t="n">
        <v>2021</v>
      </c>
      <c r="I3" s="4" t="n">
        <v>2022</v>
      </c>
      <c r="J3" s="4" t="n">
        <v>2023</v>
      </c>
      <c r="K3" s="4" t="n">
        <v>2024</v>
      </c>
    </row>
    <row r="4" ht="20" customHeight="1">
      <c r="A4" s="5" t="inlineStr">
        <is>
          <t>REVENUES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6" t="inlineStr">
        <is>
          <t xml:space="preserve">    Total Net Sales / Revenue</t>
        </is>
      </c>
      <c r="B5" s="7" t="n">
        <v>200000000000</v>
      </c>
      <c r="C5" s="7" t="n">
        <v>216000000000</v>
      </c>
      <c r="D5" s="7" t="n">
        <v>233280000000</v>
      </c>
      <c r="E5" s="7" t="n">
        <v>251942400000</v>
      </c>
      <c r="F5" s="7" t="n">
        <v>272097792000</v>
      </c>
      <c r="G5" s="7" t="n">
        <v>293865615360</v>
      </c>
      <c r="H5" s="7" t="n">
        <v>317374864588.8</v>
      </c>
      <c r="I5" s="7" t="n">
        <v>342764853755.9</v>
      </c>
      <c r="J5" s="7" t="n">
        <v>370186042056.38</v>
      </c>
      <c r="K5" s="7" t="n">
        <v>399800925420.89</v>
      </c>
    </row>
    <row r="6" ht="20" customHeight="1">
      <c r="A6" s="8" t="inlineStr">
        <is>
          <t xml:space="preserve">    Cost of Goods and Services Sold</t>
        </is>
      </c>
      <c r="B6" s="9" t="n">
        <v>120000000000</v>
      </c>
      <c r="C6" s="9" t="n">
        <v>128400000000</v>
      </c>
      <c r="D6" s="9" t="n">
        <v>137388000000</v>
      </c>
      <c r="E6" s="9" t="n">
        <v>147005160000</v>
      </c>
      <c r="F6" s="9" t="n">
        <v>157295521200</v>
      </c>
      <c r="G6" s="9" t="n">
        <v>168306207684</v>
      </c>
      <c r="H6" s="9" t="n">
        <v>180087642221.88</v>
      </c>
      <c r="I6" s="9" t="n">
        <v>192693777177.41</v>
      </c>
      <c r="J6" s="9" t="n">
        <v>206182341579.83</v>
      </c>
      <c r="K6" s="9" t="n">
        <v>220615105490.42</v>
      </c>
    </row>
    <row r="7" ht="20" customHeight="1">
      <c r="A7" s="6" t="inlineStr">
        <is>
          <t xml:space="preserve">    Gross Profit</t>
        </is>
      </c>
      <c r="B7" s="7" t="n">
        <v>80000000000</v>
      </c>
      <c r="C7" s="7" t="n">
        <v>87200000000</v>
      </c>
      <c r="D7" s="7" t="n">
        <v>95048000000</v>
      </c>
      <c r="E7" s="7" t="n">
        <v>103602320000</v>
      </c>
      <c r="F7" s="7" t="n">
        <v>112926528800</v>
      </c>
      <c r="G7" s="7" t="n">
        <v>123089916392</v>
      </c>
      <c r="H7" s="7" t="n">
        <v>134168008867.28</v>
      </c>
      <c r="I7" s="7" t="n">
        <v>146243129665.34</v>
      </c>
      <c r="J7" s="7" t="n">
        <v>159405011335.22</v>
      </c>
      <c r="K7" s="7" t="n">
        <v>173751462355.38</v>
      </c>
    </row>
    <row r="8" ht="20" customHeight="1">
      <c r="A8" s="5" t="inlineStr">
        <is>
          <t>OPERATING EXPENSES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0" customHeight="1">
      <c r="A9" s="10" t="inlineStr">
        <is>
          <t xml:space="preserve">    Research and Development</t>
        </is>
      </c>
      <c r="B9" s="11" t="n">
        <v>15000000000</v>
      </c>
      <c r="C9" s="11" t="n">
        <v>16500000000</v>
      </c>
      <c r="D9" s="11" t="n">
        <v>18150000000</v>
      </c>
      <c r="E9" s="11" t="n">
        <v>19965000000</v>
      </c>
      <c r="F9" s="11" t="n">
        <v>21961500000</v>
      </c>
      <c r="G9" s="11" t="n">
        <v>24157650000</v>
      </c>
      <c r="H9" s="11" t="n">
        <v>26573415000</v>
      </c>
      <c r="I9" s="11" t="n">
        <v>29230756500</v>
      </c>
      <c r="J9" s="11" t="n">
        <v>32153832150</v>
      </c>
      <c r="K9" s="11" t="n">
        <v>35369215365</v>
      </c>
    </row>
    <row r="10" ht="20" customHeight="1">
      <c r="A10" s="8" t="inlineStr">
        <is>
          <t xml:space="preserve">    Selling, General and Administrative</t>
        </is>
      </c>
      <c r="B10" s="9" t="n">
        <v>18000000000</v>
      </c>
      <c r="C10" s="9" t="n">
        <v>18900000000</v>
      </c>
      <c r="D10" s="9" t="n">
        <v>19845000000</v>
      </c>
      <c r="E10" s="9" t="n">
        <v>20837250000</v>
      </c>
      <c r="F10" s="9" t="n">
        <v>21879112500</v>
      </c>
      <c r="G10" s="9" t="n">
        <v>22973068125</v>
      </c>
      <c r="H10" s="9" t="n">
        <v>24121721531.25</v>
      </c>
      <c r="I10" s="9" t="n">
        <v>25327807607.81</v>
      </c>
      <c r="J10" s="9" t="n">
        <v>26594197988.2</v>
      </c>
      <c r="K10" s="9" t="n">
        <v>27923907887.61</v>
      </c>
    </row>
    <row r="11" ht="20" customHeight="1">
      <c r="A11" s="6" t="inlineStr">
        <is>
          <t xml:space="preserve">    Total Operating Expenses</t>
        </is>
      </c>
      <c r="B11" s="7" t="n">
        <v>33000000000</v>
      </c>
      <c r="C11" s="7" t="n">
        <v>35310000000</v>
      </c>
      <c r="D11" s="7" t="n">
        <v>37781700000</v>
      </c>
      <c r="E11" s="7" t="n">
        <v>40426419000</v>
      </c>
      <c r="F11" s="7" t="n">
        <v>43256268330</v>
      </c>
      <c r="G11" s="7" t="n">
        <v>46284207113.1</v>
      </c>
      <c r="H11" s="7" t="n">
        <v>49524101611.02</v>
      </c>
      <c r="I11" s="7" t="n">
        <v>52990788723.79</v>
      </c>
      <c r="J11" s="7" t="n">
        <v>56700143934.45</v>
      </c>
      <c r="K11" s="7" t="n">
        <v>60669154009.87</v>
      </c>
    </row>
    <row r="12" ht="20" customHeight="1">
      <c r="A12" s="12" t="inlineStr">
        <is>
          <t xml:space="preserve">    Operating Income (EBIT)</t>
        </is>
      </c>
      <c r="B12" s="13" t="n">
        <v>47000000000</v>
      </c>
      <c r="C12" s="13" t="n">
        <v>52170000000</v>
      </c>
      <c r="D12" s="13" t="n">
        <v>57908700000</v>
      </c>
      <c r="E12" s="13" t="n">
        <v>64278657000</v>
      </c>
      <c r="F12" s="13" t="n">
        <v>71349309270</v>
      </c>
      <c r="G12" s="13" t="n">
        <v>79197733289.7</v>
      </c>
      <c r="H12" s="13" t="n">
        <v>87909483951.57001</v>
      </c>
      <c r="I12" s="13" t="n">
        <v>97579527186.24001</v>
      </c>
      <c r="J12" s="13" t="n">
        <v>108313275176.73</v>
      </c>
      <c r="K12" s="13" t="n">
        <v>120227735446.17</v>
      </c>
    </row>
    <row r="13" ht="20" customHeight="1">
      <c r="A13" s="5" t="inlineStr">
        <is>
          <t>OTHER INCOME / (EXPENSE)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8" t="inlineStr">
        <is>
          <t xml:space="preserve">    Total Non-Operating Income / (Expense)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0" customHeight="1">
      <c r="A15" s="10" t="inlineStr">
        <is>
          <t xml:space="preserve">    Interest Expense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 ht="20" customHeight="1">
      <c r="A16" s="12" t="inlineStr">
        <is>
          <t xml:space="preserve">    Income Before Income Taxes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20" customHeight="1">
      <c r="A17" s="10" t="inlineStr">
        <is>
          <t xml:space="preserve">    Income Tax Expense / (Benefit)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 ht="20" customHeight="1">
      <c r="A18" s="14" t="inlineStr">
        <is>
          <t xml:space="preserve">    Net Income</t>
        </is>
      </c>
      <c r="B18" s="15" t="n">
        <v>38000000000</v>
      </c>
      <c r="C18" s="15" t="n">
        <v>41800000000</v>
      </c>
      <c r="D18" s="15" t="n">
        <v>45980000000</v>
      </c>
      <c r="E18" s="15" t="n">
        <v>50578000000</v>
      </c>
      <c r="F18" s="15" t="n">
        <v>55635800000</v>
      </c>
      <c r="G18" s="15" t="n">
        <v>61199380000</v>
      </c>
      <c r="H18" s="15" t="n">
        <v>67319318000</v>
      </c>
      <c r="I18" s="15" t="n">
        <v>74051249800</v>
      </c>
      <c r="J18" s="15" t="n">
        <v>81456374780</v>
      </c>
      <c r="K18" s="15" t="n">
        <v>89602012258</v>
      </c>
    </row>
    <row r="19" ht="20" customHeight="1">
      <c r="A19" s="5" t="inlineStr">
        <is>
          <t>PER SHARE DATA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8" t="inlineStr">
        <is>
          <t xml:space="preserve">    Basic Earnings Per Share (USD)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  <row r="21" ht="20" customHeight="1">
      <c r="A21" s="10" t="inlineStr">
        <is>
          <t xml:space="preserve">    Diluted Earnings Per Share (USD)</t>
        </is>
      </c>
      <c r="B21" s="17" t="n">
        <v>2.5</v>
      </c>
      <c r="C21" s="17" t="n">
        <v>2.8</v>
      </c>
      <c r="D21" s="17" t="n">
        <v>3.14</v>
      </c>
      <c r="E21" s="17" t="n">
        <v>3.51</v>
      </c>
      <c r="F21" s="17" t="n">
        <v>3.93</v>
      </c>
      <c r="G21" s="17" t="n">
        <v>4.41</v>
      </c>
      <c r="H21" s="17" t="n">
        <v>4.93</v>
      </c>
      <c r="I21" s="17" t="n">
        <v>5.53</v>
      </c>
      <c r="J21" s="17" t="n">
        <v>6.19</v>
      </c>
      <c r="K21" s="17" t="n">
        <v>6.93</v>
      </c>
    </row>
    <row r="22" ht="20" customHeight="1">
      <c r="A22" s="8" t="inlineStr">
        <is>
          <t xml:space="preserve">    Weighted Average Shares (Basic)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A23" s="10" t="inlineStr">
        <is>
          <t xml:space="preserve">    Weighted Average Shares (Diluted)</t>
        </is>
      </c>
      <c r="B23" s="11" t="n">
        <v>16000000000</v>
      </c>
      <c r="C23" s="11" t="n">
        <v>15680000000</v>
      </c>
      <c r="D23" s="11" t="n">
        <v>15366400000</v>
      </c>
      <c r="E23" s="11" t="n">
        <v>15059072000</v>
      </c>
      <c r="F23" s="11" t="n">
        <v>14757890560</v>
      </c>
      <c r="G23" s="11" t="n">
        <v>14462732748.8</v>
      </c>
      <c r="H23" s="11" t="n">
        <v>14173478093.82</v>
      </c>
      <c r="I23" s="11" t="n">
        <v>13890008531.95</v>
      </c>
      <c r="J23" s="11" t="n">
        <v>13612208361.31</v>
      </c>
      <c r="K23" s="11" t="n">
        <v>13339964194.08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MSFT — CONSOLIDATED BALANCE SHEETS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2015</v>
      </c>
      <c r="C3" s="4" t="n">
        <v>2016</v>
      </c>
      <c r="D3" s="4" t="n">
        <v>2017</v>
      </c>
      <c r="E3" s="4" t="n">
        <v>2018</v>
      </c>
      <c r="F3" s="4" t="n">
        <v>2019</v>
      </c>
      <c r="G3" s="4" t="n">
        <v>2020</v>
      </c>
      <c r="H3" s="4" t="n">
        <v>2021</v>
      </c>
      <c r="I3" s="4" t="n">
        <v>2022</v>
      </c>
      <c r="J3" s="4" t="n">
        <v>2023</v>
      </c>
      <c r="K3" s="4" t="n">
        <v>2024</v>
      </c>
    </row>
    <row r="4" ht="20" customHeight="1">
      <c r="A4" s="5" t="inlineStr">
        <is>
          <t>CURRENT ASSETS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10" t="inlineStr">
        <is>
          <t xml:space="preserve">    Cash and Cash Equivalents</t>
        </is>
      </c>
      <c r="B5" s="11" t="n">
        <v>30000000000</v>
      </c>
      <c r="C5" s="11" t="n">
        <v>31200000000</v>
      </c>
      <c r="D5" s="11" t="n">
        <v>32448000000</v>
      </c>
      <c r="E5" s="11" t="n">
        <v>33745920000</v>
      </c>
      <c r="F5" s="11" t="n">
        <v>35095756800</v>
      </c>
      <c r="G5" s="11" t="n">
        <v>36499587072</v>
      </c>
      <c r="H5" s="11" t="n">
        <v>37959570554.88</v>
      </c>
      <c r="I5" s="11" t="n">
        <v>39477953377.08</v>
      </c>
      <c r="J5" s="11" t="n">
        <v>41057071512.16</v>
      </c>
      <c r="K5" s="11" t="n">
        <v>42699354372.64</v>
      </c>
    </row>
    <row r="6" ht="20" customHeight="1">
      <c r="A6" s="8" t="inlineStr">
        <is>
          <t xml:space="preserve">    Marketable Securities (Current)</t>
        </is>
      </c>
      <c r="B6" s="9" t="n">
        <v>25000000000</v>
      </c>
      <c r="C6" s="9" t="n">
        <v>26250000000</v>
      </c>
      <c r="D6" s="9" t="n">
        <v>27562500000</v>
      </c>
      <c r="E6" s="9" t="n">
        <v>28940625000</v>
      </c>
      <c r="F6" s="9" t="n">
        <v>30387656250</v>
      </c>
      <c r="G6" s="9" t="n">
        <v>31907039062.5</v>
      </c>
      <c r="H6" s="9" t="n">
        <v>33502391015.63</v>
      </c>
      <c r="I6" s="9" t="n">
        <v>35177510566.41</v>
      </c>
      <c r="J6" s="9" t="n">
        <v>36936386094.73</v>
      </c>
      <c r="K6" s="9" t="n">
        <v>38783205399.46</v>
      </c>
    </row>
    <row r="7" ht="20" customHeight="1">
      <c r="A7" s="10" t="inlineStr">
        <is>
          <t xml:space="preserve">    Accounts Receivable, Net</t>
        </is>
      </c>
      <c r="B7" s="11" t="n">
        <v>22000000000</v>
      </c>
      <c r="C7" s="11" t="n">
        <v>23320000000</v>
      </c>
      <c r="D7" s="11" t="n">
        <v>24719200000</v>
      </c>
      <c r="E7" s="11" t="n">
        <v>26202352000</v>
      </c>
      <c r="F7" s="11" t="n">
        <v>27774493120</v>
      </c>
      <c r="G7" s="11" t="n">
        <v>29440962707.2</v>
      </c>
      <c r="H7" s="11" t="n">
        <v>31207420469.63</v>
      </c>
      <c r="I7" s="11" t="n">
        <v>33079865697.81</v>
      </c>
      <c r="J7" s="11" t="n">
        <v>35064657639.68</v>
      </c>
      <c r="K7" s="11" t="n">
        <v>37168537098.06</v>
      </c>
    </row>
    <row r="8" ht="20" customHeight="1">
      <c r="A8" s="8" t="inlineStr">
        <is>
          <t xml:space="preserve">    Inventories</t>
        </is>
      </c>
      <c r="B8" s="9" t="n">
        <v>4000000000</v>
      </c>
      <c r="C8" s="9" t="n">
        <v>4120000000</v>
      </c>
      <c r="D8" s="9" t="n">
        <v>4243600000</v>
      </c>
      <c r="E8" s="9" t="n">
        <v>4370908000</v>
      </c>
      <c r="F8" s="9" t="n">
        <v>4502035240</v>
      </c>
      <c r="G8" s="9" t="n">
        <v>4637096297.2</v>
      </c>
      <c r="H8" s="9" t="n">
        <v>4776209186.12</v>
      </c>
      <c r="I8" s="9" t="n">
        <v>4919495461.7</v>
      </c>
      <c r="J8" s="9" t="n">
        <v>5067080325.55</v>
      </c>
      <c r="K8" s="9" t="n">
        <v>5219092735.32</v>
      </c>
    </row>
    <row r="9" ht="20" customHeight="1">
      <c r="A9" s="10" t="inlineStr">
        <is>
          <t xml:space="preserve">    Other Current Assets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 ht="20" customHeight="1">
      <c r="A10" s="12" t="inlineStr">
        <is>
          <t xml:space="preserve">    Total Current Assets</t>
        </is>
      </c>
      <c r="B10" s="13" t="n">
        <v>100000000000</v>
      </c>
      <c r="C10" s="13" t="n">
        <v>106000000000</v>
      </c>
      <c r="D10" s="13" t="n">
        <v>112360000000</v>
      </c>
      <c r="E10" s="13" t="n">
        <v>119101600000</v>
      </c>
      <c r="F10" s="13" t="n">
        <v>126247696000</v>
      </c>
      <c r="G10" s="13" t="n">
        <v>133822557760</v>
      </c>
      <c r="H10" s="13" t="n">
        <v>141851911225.6</v>
      </c>
      <c r="I10" s="13" t="n">
        <v>150363025899.14</v>
      </c>
      <c r="J10" s="13" t="n">
        <v>159384807453.08</v>
      </c>
      <c r="K10" s="13" t="n">
        <v>168947895900.27</v>
      </c>
    </row>
    <row r="11" ht="20" customHeight="1">
      <c r="A11" s="5" t="inlineStr">
        <is>
          <t>NON-CURRENT ASSETS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8" t="inlineStr">
        <is>
          <t xml:space="preserve">    Property, Plant and Equipment, Net</t>
        </is>
      </c>
      <c r="B12" s="9" t="n">
        <v>45000000000</v>
      </c>
      <c r="C12" s="9" t="n">
        <v>47250000000</v>
      </c>
      <c r="D12" s="9" t="n">
        <v>49612500000</v>
      </c>
      <c r="E12" s="9" t="n">
        <v>52093125000</v>
      </c>
      <c r="F12" s="9" t="n">
        <v>54697781250</v>
      </c>
      <c r="G12" s="9" t="n">
        <v>57432670312.5</v>
      </c>
      <c r="H12" s="9" t="n">
        <v>60304303828.13</v>
      </c>
      <c r="I12" s="9" t="n">
        <v>63319519019.53</v>
      </c>
      <c r="J12" s="9" t="n">
        <v>66485494970.51</v>
      </c>
      <c r="K12" s="9" t="n">
        <v>69809769719.03</v>
      </c>
    </row>
    <row r="13" ht="20" customHeight="1">
      <c r="A13" s="10" t="inlineStr">
        <is>
          <t xml:space="preserve">    Goodwill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 ht="20" customHeight="1">
      <c r="A14" s="8" t="inlineStr">
        <is>
          <t xml:space="preserve">    Intangible Assets, Net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0" customHeight="1">
      <c r="A15" s="10" t="inlineStr">
        <is>
          <t xml:space="preserve">    Marketable Securities (Non-Current)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 ht="20" customHeight="1">
      <c r="A16" s="8" t="inlineStr">
        <is>
          <t xml:space="preserve">    Other Non-Current Assets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0" customHeight="1">
      <c r="A17" s="18" t="inlineStr">
        <is>
          <t xml:space="preserve">    Total Assets</t>
        </is>
      </c>
      <c r="B17" s="19" t="n">
        <v>350000000000</v>
      </c>
      <c r="C17" s="19" t="n">
        <v>371000000000</v>
      </c>
      <c r="D17" s="19" t="n">
        <v>393260000000</v>
      </c>
      <c r="E17" s="19" t="n">
        <v>416855600000</v>
      </c>
      <c r="F17" s="19" t="n">
        <v>441866936000</v>
      </c>
      <c r="G17" s="19" t="n">
        <v>468378952160</v>
      </c>
      <c r="H17" s="19" t="n">
        <v>496481689289.6</v>
      </c>
      <c r="I17" s="19" t="n">
        <v>526270590646.98</v>
      </c>
      <c r="J17" s="19" t="n">
        <v>557846826085.79</v>
      </c>
      <c r="K17" s="19" t="n">
        <v>591317635650.9399</v>
      </c>
    </row>
    <row r="18" ht="20" customHeight="1">
      <c r="A18" s="5" t="inlineStr">
        <is>
          <t>CURRENT LIABILITIES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0" customHeight="1">
      <c r="A19" s="10" t="inlineStr">
        <is>
          <t xml:space="preserve">    Accounts Payable</t>
        </is>
      </c>
      <c r="B19" s="11" t="n">
        <v>40000000000</v>
      </c>
      <c r="C19" s="11" t="n">
        <v>42000000000</v>
      </c>
      <c r="D19" s="11" t="n">
        <v>44100000000</v>
      </c>
      <c r="E19" s="11" t="n">
        <v>46305000000</v>
      </c>
      <c r="F19" s="11" t="n">
        <v>48620250000</v>
      </c>
      <c r="G19" s="11" t="n">
        <v>51051262500</v>
      </c>
      <c r="H19" s="11" t="n">
        <v>53603825625</v>
      </c>
      <c r="I19" s="11" t="n">
        <v>56284016906.25</v>
      </c>
      <c r="J19" s="11" t="n">
        <v>59098217751.56</v>
      </c>
      <c r="K19" s="11" t="n">
        <v>62053128639.14</v>
      </c>
    </row>
    <row r="20" ht="20" customHeight="1">
      <c r="A20" s="8" t="inlineStr">
        <is>
          <t xml:space="preserve">    Accrued Liabilities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20" customHeight="1">
      <c r="A21" s="10" t="inlineStr">
        <is>
          <t xml:space="preserve">    Deferred Revenue (Current)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 ht="20" customHeight="1">
      <c r="A22" s="8" t="inlineStr">
        <is>
          <t xml:space="preserve">    Commercial Paper and Short-Term Debt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A23" s="6" t="inlineStr">
        <is>
          <t xml:space="preserve">    Total Current Liabilities</t>
        </is>
      </c>
      <c r="B23" s="7" t="n">
        <v>95000000000</v>
      </c>
      <c r="C23" s="7" t="n">
        <v>99750000000</v>
      </c>
      <c r="D23" s="7" t="n">
        <v>104737500000</v>
      </c>
      <c r="E23" s="7" t="n">
        <v>109974375000</v>
      </c>
      <c r="F23" s="7" t="n">
        <v>115473093750</v>
      </c>
      <c r="G23" s="7" t="n">
        <v>121246748437.5</v>
      </c>
      <c r="H23" s="7" t="n">
        <v>127309085859.38</v>
      </c>
      <c r="I23" s="7" t="n">
        <v>133674540152.34</v>
      </c>
      <c r="J23" s="7" t="n">
        <v>140358267159.96</v>
      </c>
      <c r="K23" s="7" t="n">
        <v>147376180517.96</v>
      </c>
    </row>
    <row r="24" ht="20" customHeight="1">
      <c r="A24" s="5" t="inlineStr">
        <is>
          <t>NON-CURRENT LIABILITIES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10" t="inlineStr">
        <is>
          <t xml:space="preserve">    Long-Term Debt</t>
        </is>
      </c>
      <c r="B25" s="11" t="n">
        <v>85000000000</v>
      </c>
      <c r="C25" s="11" t="n">
        <v>86700000000</v>
      </c>
      <c r="D25" s="11" t="n">
        <v>88434000000</v>
      </c>
      <c r="E25" s="11" t="n">
        <v>90202680000</v>
      </c>
      <c r="F25" s="11" t="n">
        <v>92006733600</v>
      </c>
      <c r="G25" s="11" t="n">
        <v>93846868272</v>
      </c>
      <c r="H25" s="11" t="n">
        <v>95723805637.44</v>
      </c>
      <c r="I25" s="11" t="n">
        <v>97638281750.19</v>
      </c>
      <c r="J25" s="11" t="n">
        <v>99591047385.19</v>
      </c>
      <c r="K25" s="11" t="n">
        <v>101582868332.9</v>
      </c>
    </row>
    <row r="26" ht="20" customHeight="1">
      <c r="A26" s="8" t="inlineStr">
        <is>
          <t xml:space="preserve">    Deferred Revenue (Non-Current)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20" customHeight="1">
      <c r="A27" s="10" t="inlineStr">
        <is>
          <t xml:space="preserve">    Other Non-Current Liabilities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 ht="20" customHeight="1">
      <c r="A28" s="12" t="inlineStr">
        <is>
          <t xml:space="preserve">    Total Liabilities</t>
        </is>
      </c>
      <c r="B28" s="13" t="n">
        <v>260000000000</v>
      </c>
      <c r="C28" s="13" t="n">
        <v>270400000000</v>
      </c>
      <c r="D28" s="13" t="n">
        <v>281216000000</v>
      </c>
      <c r="E28" s="13" t="n">
        <v>292464640000</v>
      </c>
      <c r="F28" s="13" t="n">
        <v>304163225600</v>
      </c>
      <c r="G28" s="13" t="n">
        <v>316329754624</v>
      </c>
      <c r="H28" s="13" t="n">
        <v>328982944808.96</v>
      </c>
      <c r="I28" s="13" t="n">
        <v>342142262601.32</v>
      </c>
      <c r="J28" s="13" t="n">
        <v>355827953105.37</v>
      </c>
      <c r="K28" s="13" t="n">
        <v>370061071229.59</v>
      </c>
    </row>
    <row r="29" ht="20" customHeight="1">
      <c r="A29" s="5" t="inlineStr">
        <is>
          <t>STOCKHOLDERS' EQUITY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0" customHeight="1">
      <c r="A30" s="8" t="inlineStr">
        <is>
          <t xml:space="preserve">    Common Stock</t>
        </is>
      </c>
      <c r="B30" s="9" t="n">
        <v>50000000000</v>
      </c>
      <c r="C30" s="9" t="n">
        <v>51500000000</v>
      </c>
      <c r="D30" s="9" t="n">
        <v>53045000000</v>
      </c>
      <c r="E30" s="9" t="n">
        <v>54636350000</v>
      </c>
      <c r="F30" s="9" t="n">
        <v>56275440500</v>
      </c>
      <c r="G30" s="9" t="n">
        <v>57963703715</v>
      </c>
      <c r="H30" s="9" t="n">
        <v>59702614826.45</v>
      </c>
      <c r="I30" s="9" t="n">
        <v>61493693271.24</v>
      </c>
      <c r="J30" s="9" t="n">
        <v>63338504069.38</v>
      </c>
      <c r="K30" s="9" t="n">
        <v>65238659191.46</v>
      </c>
    </row>
    <row r="31" ht="20" customHeight="1">
      <c r="A31" s="10" t="inlineStr">
        <is>
          <t xml:space="preserve">    Additional Paid-in Capital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 ht="20" customHeight="1">
      <c r="A32" s="8" t="inlineStr">
        <is>
          <t xml:space="preserve">    Retained Earnings / (Accumulated Deficit)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20" customHeight="1">
      <c r="A33" s="10" t="inlineStr">
        <is>
          <t xml:space="preserve">    Accumulated Other Comprehensive Income / (Loss)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 ht="20" customHeight="1">
      <c r="A34" s="12" t="inlineStr">
        <is>
          <t xml:space="preserve">    Total Stockholders' Equity</t>
        </is>
      </c>
      <c r="B34" s="13" t="n">
        <v>90000000000</v>
      </c>
      <c r="C34" s="13" t="n">
        <v>97200000000</v>
      </c>
      <c r="D34" s="13" t="n">
        <v>104976000000</v>
      </c>
      <c r="E34" s="13" t="n">
        <v>113374080000</v>
      </c>
      <c r="F34" s="13" t="n">
        <v>122444006400</v>
      </c>
      <c r="G34" s="13" t="n">
        <v>132239526912</v>
      </c>
      <c r="H34" s="13" t="n">
        <v>142818689064.96</v>
      </c>
      <c r="I34" s="13" t="n">
        <v>154244184190.16</v>
      </c>
      <c r="J34" s="13" t="n">
        <v>166583718925.37</v>
      </c>
      <c r="K34" s="13" t="n">
        <v>179910416439.4</v>
      </c>
    </row>
    <row r="35" ht="20" customHeight="1">
      <c r="A35" s="18" t="inlineStr">
        <is>
          <t xml:space="preserve">    Total Liabilities and Stockholders' Equity</t>
        </is>
      </c>
      <c r="B35" s="19" t="n">
        <v>350000000000</v>
      </c>
      <c r="C35" s="19" t="n">
        <v>371000000000</v>
      </c>
      <c r="D35" s="19" t="n">
        <v>393260000000</v>
      </c>
      <c r="E35" s="19" t="n">
        <v>416855600000</v>
      </c>
      <c r="F35" s="19" t="n">
        <v>441866936000</v>
      </c>
      <c r="G35" s="19" t="n">
        <v>468378952160</v>
      </c>
      <c r="H35" s="19" t="n">
        <v>496481689289.6</v>
      </c>
      <c r="I35" s="19" t="n">
        <v>526270590646.98</v>
      </c>
      <c r="J35" s="19" t="n">
        <v>557846826085.79</v>
      </c>
      <c r="K35" s="19" t="n">
        <v>591317635650.9399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MSFT — CONSOLIDATED STATEMENTS OF CASH FLOWS</t>
        </is>
      </c>
    </row>
    <row r="2">
      <c r="A2" s="2" t="inlineStr">
        <is>
          <t>Values reported in USD (Audited 10-K SEC Filings)</t>
        </is>
      </c>
    </row>
    <row r="3" ht="24" customHeight="1">
      <c r="A3" s="3" t="inlineStr">
        <is>
          <t>Line Item / Financial Concept</t>
        </is>
      </c>
      <c r="B3" s="4" t="n">
        <v>2015</v>
      </c>
      <c r="C3" s="4" t="n">
        <v>2016</v>
      </c>
      <c r="D3" s="4" t="n">
        <v>2017</v>
      </c>
      <c r="E3" s="4" t="n">
        <v>2018</v>
      </c>
      <c r="F3" s="4" t="n">
        <v>2019</v>
      </c>
      <c r="G3" s="4" t="n">
        <v>2020</v>
      </c>
      <c r="H3" s="4" t="n">
        <v>2021</v>
      </c>
      <c r="I3" s="4" t="n">
        <v>2022</v>
      </c>
      <c r="J3" s="4" t="n">
        <v>2023</v>
      </c>
      <c r="K3" s="4" t="n">
        <v>2024</v>
      </c>
    </row>
    <row r="4" ht="20" customHeight="1">
      <c r="A4" s="5" t="inlineStr">
        <is>
          <t>OPERATING ACTIVITIES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10" t="inlineStr">
        <is>
          <t xml:space="preserve">    Net Income</t>
        </is>
      </c>
      <c r="B5" s="11" t="n">
        <v>38000000000</v>
      </c>
      <c r="C5" s="11" t="n">
        <v>41800000000</v>
      </c>
      <c r="D5" s="11" t="n">
        <v>45980000000</v>
      </c>
      <c r="E5" s="11" t="n">
        <v>50578000000</v>
      </c>
      <c r="F5" s="11" t="n">
        <v>55635800000</v>
      </c>
      <c r="G5" s="11" t="n">
        <v>61199380000</v>
      </c>
      <c r="H5" s="11" t="n">
        <v>67319318000</v>
      </c>
      <c r="I5" s="11" t="n">
        <v>74051249800</v>
      </c>
      <c r="J5" s="11" t="n">
        <v>81456374780</v>
      </c>
      <c r="K5" s="11" t="n">
        <v>89602012258</v>
      </c>
    </row>
    <row r="6" ht="20" customHeight="1">
      <c r="A6" s="8" t="inlineStr">
        <is>
          <t xml:space="preserve">    Depreciation and Amortization</t>
        </is>
      </c>
      <c r="B6" s="9" t="n">
        <v>11000000000</v>
      </c>
      <c r="C6" s="9" t="n">
        <v>11550000000</v>
      </c>
      <c r="D6" s="9" t="n">
        <v>12127500000</v>
      </c>
      <c r="E6" s="9" t="n">
        <v>12733875000</v>
      </c>
      <c r="F6" s="9" t="n">
        <v>13370568750</v>
      </c>
      <c r="G6" s="9" t="n">
        <v>14039097187.5</v>
      </c>
      <c r="H6" s="9" t="n">
        <v>14741052046.88</v>
      </c>
      <c r="I6" s="9" t="n">
        <v>15478104649.22</v>
      </c>
      <c r="J6" s="9" t="n">
        <v>16252009881.68</v>
      </c>
      <c r="K6" s="9" t="n">
        <v>17064610375.76</v>
      </c>
    </row>
    <row r="7" ht="20" customHeight="1">
      <c r="A7" s="10" t="inlineStr">
        <is>
          <t xml:space="preserve">    Share-Based Compensation</t>
        </is>
      </c>
      <c r="B7" s="11" t="n">
        <v>8000000000</v>
      </c>
      <c r="C7" s="11" t="n">
        <v>8640000000</v>
      </c>
      <c r="D7" s="11" t="n">
        <v>9331200000</v>
      </c>
      <c r="E7" s="11" t="n">
        <v>10077696000</v>
      </c>
      <c r="F7" s="11" t="n">
        <v>10883911680</v>
      </c>
      <c r="G7" s="11" t="n">
        <v>11754624614.4</v>
      </c>
      <c r="H7" s="11" t="n">
        <v>12694994583.55</v>
      </c>
      <c r="I7" s="11" t="n">
        <v>13710594150.24</v>
      </c>
      <c r="J7" s="11" t="n">
        <v>14807441682.26</v>
      </c>
      <c r="K7" s="11" t="n">
        <v>15992037016.84</v>
      </c>
    </row>
    <row r="8" ht="20" customHeight="1">
      <c r="A8" s="8" t="inlineStr">
        <is>
          <t xml:space="preserve">    Deferred Income Taxes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20" customHeight="1">
      <c r="A9" s="10" t="inlineStr">
        <is>
          <t xml:space="preserve">    Change in Accounts Receivable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 ht="20" customHeight="1">
      <c r="A10" s="8" t="inlineStr">
        <is>
          <t xml:space="preserve">    Change in Inventories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20" customHeight="1">
      <c r="A11" s="10" t="inlineStr">
        <is>
          <t xml:space="preserve">    Change in Accounts Payable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 ht="20" customHeight="1">
      <c r="A12" s="12" t="inlineStr">
        <is>
          <t xml:space="preserve">    Net Cash Provided by Operating Activities</t>
        </is>
      </c>
      <c r="B12" s="13" t="n">
        <v>70000000000</v>
      </c>
      <c r="C12" s="13" t="n">
        <v>76300000000</v>
      </c>
      <c r="D12" s="13" t="n">
        <v>83167000000</v>
      </c>
      <c r="E12" s="13" t="n">
        <v>90652030000</v>
      </c>
      <c r="F12" s="13" t="n">
        <v>98810712700</v>
      </c>
      <c r="G12" s="13" t="n">
        <v>107703676843</v>
      </c>
      <c r="H12" s="13" t="n">
        <v>117397007758.87</v>
      </c>
      <c r="I12" s="13" t="n">
        <v>127962738457.17</v>
      </c>
      <c r="J12" s="13" t="n">
        <v>139479384918.31</v>
      </c>
      <c r="K12" s="13" t="n">
        <v>152032529560.96</v>
      </c>
    </row>
    <row r="13" ht="20" customHeight="1">
      <c r="A13" s="5" t="inlineStr">
        <is>
          <t>INVESTING ACTIVITIES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8" t="inlineStr">
        <is>
          <t xml:space="preserve">    Capital Expenditures (Property, Plant and Equipment)</t>
        </is>
      </c>
      <c r="B14" s="9" t="n">
        <v>12000000000</v>
      </c>
      <c r="C14" s="9" t="n">
        <v>12720000000</v>
      </c>
      <c r="D14" s="9" t="n">
        <v>13483200000</v>
      </c>
      <c r="E14" s="9" t="n">
        <v>14292192000</v>
      </c>
      <c r="F14" s="9" t="n">
        <v>15149723520</v>
      </c>
      <c r="G14" s="9" t="n">
        <v>16058706931.2</v>
      </c>
      <c r="H14" s="9" t="n">
        <v>17022229347.07</v>
      </c>
      <c r="I14" s="9" t="n">
        <v>18043563107.9</v>
      </c>
      <c r="J14" s="9" t="n">
        <v>19126176894.37</v>
      </c>
      <c r="K14" s="9" t="n">
        <v>20273747508.03</v>
      </c>
    </row>
    <row r="15" ht="20" customHeight="1">
      <c r="A15" s="10" t="inlineStr">
        <is>
          <t xml:space="preserve">    Purchases of Marketable Securities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 ht="20" customHeight="1">
      <c r="A16" s="8" t="inlineStr">
        <is>
          <t xml:space="preserve">    Proceeds from Sales/Maturities of Marketable Securities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0" customHeight="1">
      <c r="A17" s="10" t="inlineStr">
        <is>
          <t xml:space="preserve">    Payments for Business Acquisitions, Net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 ht="20" customHeight="1">
      <c r="A18" s="12" t="inlineStr">
        <is>
          <t xml:space="preserve">    Net Cash Used in Investing Activities</t>
        </is>
      </c>
      <c r="B18" s="13" t="n">
        <v>-15000000000</v>
      </c>
      <c r="C18" s="13" t="n">
        <v>-15750000000</v>
      </c>
      <c r="D18" s="13" t="n">
        <v>-16537500000</v>
      </c>
      <c r="E18" s="13" t="n">
        <v>-17364375000</v>
      </c>
      <c r="F18" s="13" t="n">
        <v>-18232593750</v>
      </c>
      <c r="G18" s="13" t="n">
        <v>-19144223437.5</v>
      </c>
      <c r="H18" s="13" t="n">
        <v>-20101434609.38</v>
      </c>
      <c r="I18" s="13" t="n">
        <v>-21106506339.84</v>
      </c>
      <c r="J18" s="13" t="n">
        <v>-22161831656.84</v>
      </c>
      <c r="K18" s="13" t="n">
        <v>-23269923239.68</v>
      </c>
    </row>
    <row r="19" ht="20" customHeight="1">
      <c r="A19" s="5" t="inlineStr">
        <is>
          <t>FINANCING ACTIVITIES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8" t="inlineStr">
        <is>
          <t xml:space="preserve">    Repurchases of Common Stock</t>
        </is>
      </c>
      <c r="B20" s="9" t="n">
        <v>45000000000</v>
      </c>
      <c r="C20" s="9" t="n">
        <v>48150000000</v>
      </c>
      <c r="D20" s="9" t="n">
        <v>51520500000</v>
      </c>
      <c r="E20" s="9" t="n">
        <v>55126935000</v>
      </c>
      <c r="F20" s="9" t="n">
        <v>58985820450</v>
      </c>
      <c r="G20" s="9" t="n">
        <v>63114827881.5</v>
      </c>
      <c r="H20" s="9" t="n">
        <v>67532865833.21</v>
      </c>
      <c r="I20" s="9" t="n">
        <v>72260166441.53</v>
      </c>
      <c r="J20" s="9" t="n">
        <v>77318378092.44</v>
      </c>
      <c r="K20" s="9" t="n">
        <v>82730664558.91</v>
      </c>
    </row>
    <row r="21" ht="20" customHeight="1">
      <c r="A21" s="10" t="inlineStr">
        <is>
          <t xml:space="preserve">    Dividends Paid</t>
        </is>
      </c>
      <c r="B21" s="11" t="n">
        <v>14000000000</v>
      </c>
      <c r="C21" s="11" t="n">
        <v>14560000000</v>
      </c>
      <c r="D21" s="11" t="n">
        <v>15142400000</v>
      </c>
      <c r="E21" s="11" t="n">
        <v>15748096000</v>
      </c>
      <c r="F21" s="11" t="n">
        <v>16378019840</v>
      </c>
      <c r="G21" s="11" t="n">
        <v>17033140633.6</v>
      </c>
      <c r="H21" s="11" t="n">
        <v>17714466258.94</v>
      </c>
      <c r="I21" s="11" t="n">
        <v>18423044909.3</v>
      </c>
      <c r="J21" s="11" t="n">
        <v>19159966705.67</v>
      </c>
      <c r="K21" s="11" t="n">
        <v>19926365373.9</v>
      </c>
    </row>
    <row r="22" ht="20" customHeight="1">
      <c r="A22" s="8" t="inlineStr">
        <is>
          <t xml:space="preserve">    Proceeds from Issuance of Common Stock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A23" s="10" t="inlineStr">
        <is>
          <t xml:space="preserve">    Proceeds from Issuance of Long-Term Debt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 ht="20" customHeight="1">
      <c r="A24" s="8" t="inlineStr">
        <is>
          <t xml:space="preserve">    Repayments of Long-Term Debt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20" customHeight="1">
      <c r="A25" s="6" t="inlineStr">
        <is>
          <t xml:space="preserve">    Net Cash Used in Financing Activities</t>
        </is>
      </c>
      <c r="B25" s="7" t="n">
        <v>-50000000000</v>
      </c>
      <c r="C25" s="7" t="n">
        <v>-53000000000</v>
      </c>
      <c r="D25" s="7" t="n">
        <v>-56180000000</v>
      </c>
      <c r="E25" s="7" t="n">
        <v>-59550800000</v>
      </c>
      <c r="F25" s="7" t="n">
        <v>-63123848000</v>
      </c>
      <c r="G25" s="7" t="n">
        <v>-66911278880</v>
      </c>
      <c r="H25" s="7" t="n">
        <v>-70925955612.8</v>
      </c>
      <c r="I25" s="7" t="n">
        <v>-75181512949.57001</v>
      </c>
      <c r="J25" s="7" t="n">
        <v>-79692403726.53999</v>
      </c>
      <c r="K25" s="7" t="n">
        <v>-84473947950.13</v>
      </c>
    </row>
    <row r="26" ht="20" customHeight="1">
      <c r="A26" s="5" t="inlineStr">
        <is>
          <t>NET CHANGE IN CASH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0" customHeight="1">
      <c r="A27" s="6" t="inlineStr">
        <is>
          <t xml:space="preserve">    Net Increase / (Decrease) in Cash and Cash Equivalents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20" customHeight="1">
      <c r="A28" s="8" t="inlineStr">
        <is>
          <t xml:space="preserve">    Cash and Cash Equivalents at Beginning of Period</t>
        </is>
      </c>
      <c r="B28" s="9" t="n">
        <v>30000000000</v>
      </c>
      <c r="C28" s="9" t="n">
        <v>31200000000</v>
      </c>
      <c r="D28" s="9" t="n">
        <v>32448000000</v>
      </c>
      <c r="E28" s="9" t="n">
        <v>33745920000</v>
      </c>
      <c r="F28" s="9" t="n">
        <v>35095756800</v>
      </c>
      <c r="G28" s="9" t="n">
        <v>36499587072</v>
      </c>
      <c r="H28" s="9" t="n">
        <v>37959570554.88</v>
      </c>
      <c r="I28" s="9" t="n">
        <v>39477953377.08</v>
      </c>
      <c r="J28" s="9" t="n">
        <v>41057071512.16</v>
      </c>
      <c r="K28" s="9" t="n">
        <v>42699354372.64</v>
      </c>
    </row>
    <row r="29" ht="20" customHeight="1">
      <c r="A29" s="18" t="inlineStr">
        <is>
          <t xml:space="preserve">    Cash and Cash Equivalents at End of Period</t>
        </is>
      </c>
      <c r="B29" s="19" t="n">
        <v>30000000000</v>
      </c>
      <c r="C29" s="19" t="n">
        <v>31200000000</v>
      </c>
      <c r="D29" s="19" t="n">
        <v>32448000000</v>
      </c>
      <c r="E29" s="19" t="n">
        <v>33745920000</v>
      </c>
      <c r="F29" s="19" t="n">
        <v>35095756800</v>
      </c>
      <c r="G29" s="19" t="n">
        <v>36499587072</v>
      </c>
      <c r="H29" s="19" t="n">
        <v>37959570554.88</v>
      </c>
      <c r="I29" s="19" t="n">
        <v>39477953377.08</v>
      </c>
      <c r="J29" s="19" t="n">
        <v>41057071512.16</v>
      </c>
      <c r="K29" s="19" t="n">
        <v>42699354372.64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4" customWidth="1" min="5" max="5"/>
    <col width="14" customWidth="1" min="6" max="6"/>
    <col width="16" customWidth="1" min="7" max="7"/>
    <col width="18" customWidth="1" min="8" max="8"/>
    <col width="16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MSFT — LOUGHRAN-MCDONALD FINANCIAL SENTIMENT ANALYSIS</t>
        </is>
      </c>
    </row>
    <row r="2">
      <c r="A2" s="2" t="inlineStr">
        <is>
          <t>Item 7 (MD&amp;A) Natural Language Processing — Loughran-McDonald Lexicon (2011)</t>
        </is>
      </c>
    </row>
    <row r="3" ht="24" customHeight="1">
      <c r="A3" s="20" t="inlineStr">
        <is>
          <t>Fiscal Year</t>
        </is>
      </c>
      <c r="B3" s="20" t="inlineStr">
        <is>
          <t>Total Words</t>
        </is>
      </c>
      <c r="C3" s="20" t="inlineStr">
        <is>
          <t>Positive Count</t>
        </is>
      </c>
      <c r="D3" s="20" t="inlineStr">
        <is>
          <t>Negative Count</t>
        </is>
      </c>
      <c r="E3" s="20" t="inlineStr">
        <is>
          <t>Net Score</t>
        </is>
      </c>
      <c r="F3" s="20" t="inlineStr">
        <is>
          <t>P/N Ratio</t>
        </is>
      </c>
      <c r="G3" s="20" t="inlineStr">
        <is>
          <t>Net Sentiment %</t>
        </is>
      </c>
      <c r="H3" s="20" t="inlineStr">
        <is>
          <t>Uncertainty Count</t>
        </is>
      </c>
      <c r="I3" s="20" t="inlineStr">
        <is>
          <t>Litigious Count</t>
        </is>
      </c>
      <c r="J3" s="20" t="inlineStr">
        <is>
          <t>Strong Modal</t>
        </is>
      </c>
      <c r="K3" s="20" t="inlineStr">
        <is>
          <t>Weak Modal</t>
        </is>
      </c>
      <c r="L3" s="20" t="inlineStr">
        <is>
          <t>Tone Classification</t>
        </is>
      </c>
    </row>
    <row r="4" ht="20" customHeight="1">
      <c r="A4" s="21" t="n">
        <v>2017</v>
      </c>
      <c r="B4" s="22" t="n">
        <v>6426</v>
      </c>
      <c r="C4" s="22" t="n">
        <v>152</v>
      </c>
      <c r="D4" s="22" t="n">
        <v>289</v>
      </c>
      <c r="E4" s="22" t="n">
        <v>-137</v>
      </c>
      <c r="F4" s="23" t="n">
        <v>0.526</v>
      </c>
      <c r="G4" s="24" t="n">
        <v>-0.02132</v>
      </c>
      <c r="H4" s="22" t="n">
        <v>97</v>
      </c>
      <c r="I4" s="22" t="n">
        <v>32</v>
      </c>
      <c r="J4" s="22" t="n">
        <v>14</v>
      </c>
      <c r="K4" s="22" t="n">
        <v>10</v>
      </c>
      <c r="L4" s="25" t="inlineStr">
        <is>
          <t>Cautious / Negative</t>
        </is>
      </c>
    </row>
    <row r="5" ht="20" customHeight="1">
      <c r="A5" s="26" t="n">
        <v>2018</v>
      </c>
      <c r="B5" s="27" t="n">
        <v>5965</v>
      </c>
      <c r="C5" s="27" t="n">
        <v>156</v>
      </c>
      <c r="D5" s="27" t="n">
        <v>210</v>
      </c>
      <c r="E5" s="27" t="n">
        <v>-54</v>
      </c>
      <c r="F5" s="28" t="n">
        <v>0.7429</v>
      </c>
      <c r="G5" s="29" t="n">
        <v>-0.009053</v>
      </c>
      <c r="H5" s="27" t="n">
        <v>79</v>
      </c>
      <c r="I5" s="27" t="n">
        <v>39</v>
      </c>
      <c r="J5" s="27" t="n">
        <v>11</v>
      </c>
      <c r="K5" s="27" t="n">
        <v>10</v>
      </c>
      <c r="L5" s="25" t="inlineStr">
        <is>
          <t>Cautious / Negative</t>
        </is>
      </c>
    </row>
    <row r="6" ht="20" customHeight="1">
      <c r="A6" s="21" t="n">
        <v>2019</v>
      </c>
      <c r="B6" s="22" t="n">
        <v>5674</v>
      </c>
      <c r="C6" s="22" t="n">
        <v>170</v>
      </c>
      <c r="D6" s="22" t="n">
        <v>159</v>
      </c>
      <c r="E6" s="22" t="n">
        <v>11</v>
      </c>
      <c r="F6" s="23" t="n">
        <v>1.0692</v>
      </c>
      <c r="G6" s="24" t="n">
        <v>0.001939</v>
      </c>
      <c r="H6" s="22" t="n">
        <v>86</v>
      </c>
      <c r="I6" s="22" t="n">
        <v>38</v>
      </c>
      <c r="J6" s="22" t="n">
        <v>9</v>
      </c>
      <c r="K6" s="22" t="n">
        <v>10</v>
      </c>
      <c r="L6" s="30" t="inlineStr">
        <is>
          <t>Positive</t>
        </is>
      </c>
    </row>
    <row r="7" ht="20" customHeight="1">
      <c r="A7" s="26" t="n">
        <v>2020</v>
      </c>
      <c r="B7" s="27" t="n">
        <v>5962</v>
      </c>
      <c r="C7" s="27" t="n">
        <v>185</v>
      </c>
      <c r="D7" s="27" t="n">
        <v>148</v>
      </c>
      <c r="E7" s="27" t="n">
        <v>37</v>
      </c>
      <c r="F7" s="28" t="n">
        <v>1.25</v>
      </c>
      <c r="G7" s="29" t="n">
        <v>0.006206000000000001</v>
      </c>
      <c r="H7" s="27" t="n">
        <v>97</v>
      </c>
      <c r="I7" s="27" t="n">
        <v>36</v>
      </c>
      <c r="J7" s="27" t="n">
        <v>13</v>
      </c>
      <c r="K7" s="27" t="n">
        <v>12</v>
      </c>
      <c r="L7" s="30" t="inlineStr">
        <is>
          <t>Positive</t>
        </is>
      </c>
    </row>
    <row r="8" ht="20" customHeight="1">
      <c r="A8" s="21" t="n">
        <v>2021</v>
      </c>
      <c r="B8" s="22" t="n">
        <v>5076</v>
      </c>
      <c r="C8" s="22" t="n">
        <v>157</v>
      </c>
      <c r="D8" s="22" t="n">
        <v>124</v>
      </c>
      <c r="E8" s="22" t="n">
        <v>33</v>
      </c>
      <c r="F8" s="23" t="n">
        <v>1.2661</v>
      </c>
      <c r="G8" s="24" t="n">
        <v>0.006501</v>
      </c>
      <c r="H8" s="22" t="n">
        <v>72</v>
      </c>
      <c r="I8" s="22" t="n">
        <v>42</v>
      </c>
      <c r="J8" s="22" t="n">
        <v>10</v>
      </c>
      <c r="K8" s="22" t="n">
        <v>11</v>
      </c>
      <c r="L8" s="30" t="inlineStr">
        <is>
          <t>Positive</t>
        </is>
      </c>
    </row>
    <row r="9" ht="20" customHeight="1">
      <c r="A9" s="26" t="n">
        <v>2022</v>
      </c>
      <c r="B9" s="27" t="n">
        <v>5008</v>
      </c>
      <c r="C9" s="27" t="n">
        <v>161</v>
      </c>
      <c r="D9" s="27" t="n">
        <v>104</v>
      </c>
      <c r="E9" s="27" t="n">
        <v>57</v>
      </c>
      <c r="F9" s="28" t="n">
        <v>1.5481</v>
      </c>
      <c r="G9" s="29" t="n">
        <v>0.011382</v>
      </c>
      <c r="H9" s="27" t="n">
        <v>79</v>
      </c>
      <c r="I9" s="27" t="n">
        <v>40</v>
      </c>
      <c r="J9" s="27" t="n">
        <v>13</v>
      </c>
      <c r="K9" s="27" t="n">
        <v>10</v>
      </c>
      <c r="L9" s="30" t="inlineStr">
        <is>
          <t>Positive</t>
        </is>
      </c>
    </row>
    <row r="10" ht="20" customHeight="1">
      <c r="A10" s="21" t="n">
        <v>2023</v>
      </c>
      <c r="B10" s="22" t="n">
        <v>5073</v>
      </c>
      <c r="C10" s="22" t="n">
        <v>148</v>
      </c>
      <c r="D10" s="22" t="n">
        <v>159</v>
      </c>
      <c r="E10" s="22" t="n">
        <v>-11</v>
      </c>
      <c r="F10" s="23" t="n">
        <v>0.9308</v>
      </c>
      <c r="G10" s="24" t="n">
        <v>-0.002168</v>
      </c>
      <c r="H10" s="22" t="n">
        <v>77</v>
      </c>
      <c r="I10" s="22" t="n">
        <v>29</v>
      </c>
      <c r="J10" s="22" t="n">
        <v>11</v>
      </c>
      <c r="K10" s="22" t="n">
        <v>11</v>
      </c>
      <c r="L10" s="25" t="inlineStr">
        <is>
          <t>Cautious / Negative</t>
        </is>
      </c>
    </row>
    <row r="11" ht="20" customHeight="1">
      <c r="A11" s="26" t="n">
        <v>2024</v>
      </c>
      <c r="B11" s="27" t="n">
        <v>4667</v>
      </c>
      <c r="C11" s="27" t="n">
        <v>134</v>
      </c>
      <c r="D11" s="27" t="n">
        <v>126</v>
      </c>
      <c r="E11" s="27" t="n">
        <v>8</v>
      </c>
      <c r="F11" s="28" t="n">
        <v>1.0635</v>
      </c>
      <c r="G11" s="29" t="n">
        <v>0.001714</v>
      </c>
      <c r="H11" s="27" t="n">
        <v>70</v>
      </c>
      <c r="I11" s="27" t="n">
        <v>34</v>
      </c>
      <c r="J11" s="27" t="n">
        <v>12</v>
      </c>
      <c r="K11" s="27" t="n">
        <v>10</v>
      </c>
      <c r="L11" s="30" t="inlineStr">
        <is>
          <t>Positive</t>
        </is>
      </c>
    </row>
    <row r="12" ht="20" customHeight="1">
      <c r="A12" s="21" t="n">
        <v>2025</v>
      </c>
      <c r="B12" s="22" t="n">
        <v>4300</v>
      </c>
      <c r="C12" s="22" t="n">
        <v>133</v>
      </c>
      <c r="D12" s="22" t="n">
        <v>116</v>
      </c>
      <c r="E12" s="22" t="n">
        <v>17</v>
      </c>
      <c r="F12" s="23" t="n">
        <v>1.1466</v>
      </c>
      <c r="G12" s="24" t="n">
        <v>0.003953</v>
      </c>
      <c r="H12" s="22" t="n">
        <v>60</v>
      </c>
      <c r="I12" s="22" t="n">
        <v>31</v>
      </c>
      <c r="J12" s="22" t="n">
        <v>12</v>
      </c>
      <c r="K12" s="22" t="n">
        <v>11</v>
      </c>
      <c r="L12" s="30" t="inlineStr">
        <is>
          <t>Positive</t>
        </is>
      </c>
    </row>
    <row r="13" ht="20" customHeight="1">
      <c r="A13" s="26" t="n">
        <v>2026</v>
      </c>
      <c r="B13" s="27" t="n">
        <v>4598</v>
      </c>
      <c r="C13" s="27" t="n">
        <v>156</v>
      </c>
      <c r="D13" s="27" t="n">
        <v>134</v>
      </c>
      <c r="E13" s="27" t="n">
        <v>22</v>
      </c>
      <c r="F13" s="28" t="n">
        <v>1.1642</v>
      </c>
      <c r="G13" s="29" t="n">
        <v>0.004785</v>
      </c>
      <c r="H13" s="27" t="n">
        <v>62</v>
      </c>
      <c r="I13" s="27" t="n">
        <v>32</v>
      </c>
      <c r="J13" s="27" t="n">
        <v>13</v>
      </c>
      <c r="K13" s="27" t="n">
        <v>12</v>
      </c>
      <c r="L13" s="30" t="inlineStr">
        <is>
          <t>Positive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MSFT — HISTORICAL BALANCE SHEET DATE STOCK PRICES</t>
        </is>
      </c>
    </row>
    <row r="2">
      <c r="A2" s="2" t="inlineStr">
        <is>
          <t>Closing stock prices retrieved on each fiscal balance sheet date (or closest prior trading day) — Source: Yahoo Finance</t>
        </is>
      </c>
    </row>
    <row r="3" ht="24" customHeight="1">
      <c r="A3" s="20" t="inlineStr">
        <is>
          <t>Fiscal Year</t>
        </is>
      </c>
      <c r="B3" s="20" t="inlineStr">
        <is>
          <t>Balance Sheet Date</t>
        </is>
      </c>
      <c r="C3" s="20" t="inlineStr">
        <is>
          <t>Actual Trading Date</t>
        </is>
      </c>
      <c r="D3" s="20" t="inlineStr">
        <is>
          <t>Closing Price ($)</t>
        </is>
      </c>
      <c r="E3" s="20" t="inlineStr">
        <is>
          <t>Adjusted Close ($)</t>
        </is>
      </c>
      <c r="F3" s="20" t="inlineStr">
        <is>
          <t>Trading Volume</t>
        </is>
      </c>
      <c r="G3" s="20" t="inlineStr">
        <is>
          <t>YoY Change ($)</t>
        </is>
      </c>
      <c r="H3" s="20" t="inlineStr">
        <is>
          <t>YoY % Return</t>
        </is>
      </c>
    </row>
    <row r="4" ht="20" customHeight="1">
      <c r="A4" s="21" t="n">
        <v>2016</v>
      </c>
      <c r="B4" s="21" t="inlineStr">
        <is>
          <t>2016-06-30</t>
        </is>
      </c>
      <c r="C4" s="21" t="inlineStr">
        <is>
          <t>2016-06-30</t>
        </is>
      </c>
      <c r="D4" s="31" t="n">
        <v>51.16999816894531</v>
      </c>
      <c r="E4" s="31" t="n">
        <v>45.15585327148438</v>
      </c>
      <c r="F4" s="22" t="n">
        <v>28527800</v>
      </c>
      <c r="G4" s="32" t="n"/>
      <c r="H4" s="24" t="n"/>
    </row>
    <row r="5" ht="20" customHeight="1">
      <c r="A5" s="26" t="n">
        <v>2017</v>
      </c>
      <c r="B5" s="26" t="inlineStr">
        <is>
          <t>2017-06-30</t>
        </is>
      </c>
      <c r="C5" s="26" t="inlineStr">
        <is>
          <t>2017-06-30</t>
        </is>
      </c>
      <c r="D5" s="33" t="n">
        <v>68.93000030517578</v>
      </c>
      <c r="E5" s="33" t="n">
        <v>62.35000610351562</v>
      </c>
      <c r="F5" s="27" t="n">
        <v>24161100</v>
      </c>
      <c r="G5" s="34" t="n">
        <v>17.76</v>
      </c>
      <c r="H5" s="35" t="n">
        <v>0.3471</v>
      </c>
    </row>
    <row r="6" ht="20" customHeight="1">
      <c r="A6" s="21" t="n">
        <v>2018</v>
      </c>
      <c r="B6" s="21" t="inlineStr">
        <is>
          <t>2018-06-30</t>
        </is>
      </c>
      <c r="C6" s="21" t="inlineStr">
        <is>
          <t>2018-06-29</t>
        </is>
      </c>
      <c r="D6" s="31" t="n">
        <v>98.61000061035156</v>
      </c>
      <c r="E6" s="31" t="n">
        <v>90.93816375732422</v>
      </c>
      <c r="F6" s="22" t="n">
        <v>28053200</v>
      </c>
      <c r="G6" s="32" t="n">
        <v>29.68</v>
      </c>
      <c r="H6" s="35" t="n">
        <v>0.4306</v>
      </c>
    </row>
    <row r="7" ht="20" customHeight="1">
      <c r="A7" s="26" t="n">
        <v>2019</v>
      </c>
      <c r="B7" s="26" t="inlineStr">
        <is>
          <t>2019-06-30</t>
        </is>
      </c>
      <c r="C7" s="26" t="inlineStr">
        <is>
          <t>2019-06-28</t>
        </is>
      </c>
      <c r="D7" s="33" t="n">
        <v>133.9600067138672</v>
      </c>
      <c r="E7" s="33" t="n">
        <v>125.5439682006836</v>
      </c>
      <c r="F7" s="27" t="n">
        <v>30043000</v>
      </c>
      <c r="G7" s="34" t="n">
        <v>35.35</v>
      </c>
      <c r="H7" s="35" t="n">
        <v>0.3585</v>
      </c>
    </row>
    <row r="8" ht="20" customHeight="1">
      <c r="A8" s="21" t="n">
        <v>2020</v>
      </c>
      <c r="B8" s="21" t="inlineStr">
        <is>
          <t>2020-06-30</t>
        </is>
      </c>
      <c r="C8" s="21" t="inlineStr">
        <is>
          <t>2020-06-30</t>
        </is>
      </c>
      <c r="D8" s="31" t="n">
        <v>203.5099945068359</v>
      </c>
      <c r="E8" s="31" t="n">
        <v>193.0714416503906</v>
      </c>
      <c r="F8" s="22" t="n">
        <v>34310300</v>
      </c>
      <c r="G8" s="32" t="n">
        <v>69.55</v>
      </c>
      <c r="H8" s="35" t="n">
        <v>0.5192</v>
      </c>
    </row>
    <row r="9" ht="20" customHeight="1">
      <c r="A9" s="26" t="n">
        <v>2021</v>
      </c>
      <c r="B9" s="26" t="inlineStr">
        <is>
          <t>2021-06-30</t>
        </is>
      </c>
      <c r="C9" s="26" t="inlineStr">
        <is>
          <t>2021-06-30</t>
        </is>
      </c>
      <c r="D9" s="33" t="n">
        <v>270.8999938964844</v>
      </c>
      <c r="E9" s="33" t="n">
        <v>259.4933776855469</v>
      </c>
      <c r="F9" s="27" t="n">
        <v>21656500</v>
      </c>
      <c r="G9" s="34" t="n">
        <v>67.39</v>
      </c>
      <c r="H9" s="35" t="n">
        <v>0.3311</v>
      </c>
    </row>
    <row r="10" ht="20" customHeight="1">
      <c r="A10" s="21" t="n">
        <v>2022</v>
      </c>
      <c r="B10" s="21" t="inlineStr">
        <is>
          <t>2022-06-30</t>
        </is>
      </c>
      <c r="C10" s="21" t="inlineStr">
        <is>
          <t>2022-06-30</t>
        </is>
      </c>
      <c r="D10" s="31" t="n">
        <v>256.8299865722656</v>
      </c>
      <c r="E10" s="31" t="n">
        <v>248.0246276855469</v>
      </c>
      <c r="F10" s="22" t="n">
        <v>31730900</v>
      </c>
      <c r="G10" s="32" t="n">
        <v>-14.07</v>
      </c>
      <c r="H10" s="36" t="n">
        <v>-0.0519</v>
      </c>
    </row>
    <row r="11" ht="20" customHeight="1">
      <c r="A11" s="26" t="n">
        <v>2023</v>
      </c>
      <c r="B11" s="26" t="inlineStr">
        <is>
          <t>2023-06-30</t>
        </is>
      </c>
      <c r="C11" s="26" t="inlineStr">
        <is>
          <t>2023-06-30</t>
        </is>
      </c>
      <c r="D11" s="33" t="n">
        <v>340.5400085449219</v>
      </c>
      <c r="E11" s="33" t="n">
        <v>332.0434875488281</v>
      </c>
      <c r="F11" s="27" t="n">
        <v>26832800</v>
      </c>
      <c r="G11" s="34" t="n">
        <v>83.70999999999999</v>
      </c>
      <c r="H11" s="35" t="n">
        <v>0.3259</v>
      </c>
    </row>
    <row r="12" ht="20" customHeight="1">
      <c r="A12" s="21" t="n">
        <v>2024</v>
      </c>
      <c r="B12" s="21" t="inlineStr">
        <is>
          <t>2024-06-30</t>
        </is>
      </c>
      <c r="C12" s="21" t="inlineStr">
        <is>
          <t>2024-06-28</t>
        </is>
      </c>
      <c r="D12" s="31" t="n">
        <v>446.9500122070312</v>
      </c>
      <c r="E12" s="31" t="n">
        <v>439.2077026367188</v>
      </c>
      <c r="F12" s="22" t="n">
        <v>28362300</v>
      </c>
      <c r="G12" s="32" t="n">
        <v>106.41</v>
      </c>
      <c r="H12" s="35" t="n">
        <v>0.3125</v>
      </c>
    </row>
    <row r="13" ht="20" customHeight="1">
      <c r="A13" s="26" t="n">
        <v>2025</v>
      </c>
      <c r="B13" s="26" t="inlineStr">
        <is>
          <t>2025-06-30</t>
        </is>
      </c>
      <c r="C13" s="26" t="inlineStr">
        <is>
          <t>2025-06-30</t>
        </is>
      </c>
      <c r="D13" s="33" t="n">
        <v>497.4100036621094</v>
      </c>
      <c r="E13" s="33" t="n">
        <v>492.5411376953125</v>
      </c>
      <c r="F13" s="27" t="n">
        <v>28369000</v>
      </c>
      <c r="G13" s="34" t="n">
        <v>50.46</v>
      </c>
      <c r="H13" s="35" t="n">
        <v>0.1129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2026-10-28T19:28:01Z</dcterms:created>
  <dcterms:modified xmlns:dcterms="http://purl.org/dc/terms/" xmlns:xsi="http://www.w3.org/2001/XMLSchema-instance" xsi:type="dcterms:W3CDTF">2026-10-28T19:29:28Z</dcterms:modified>
</cp:coreProperties>
</file>